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C INV 260142 C-LOG" sheetId="1" r:id="rId5"/>
  </sheets>
  <definedNames>
    <definedName hidden="1" localSheetId="0" name="_xlnm._FilterDatabase">'APC INV 260142 C-LOG'!$B$16:$P$102</definedName>
  </definedNames>
  <calcPr/>
</workbook>
</file>

<file path=xl/sharedStrings.xml><?xml version="1.0" encoding="utf-8"?>
<sst xmlns="http://schemas.openxmlformats.org/spreadsheetml/2006/main" count="434" uniqueCount="55">
  <si>
    <t>PUNTOTRES BAGS &amp; BELTS, S.L.</t>
  </si>
  <si>
    <t>Industria, 585</t>
  </si>
  <si>
    <t xml:space="preserve">Tel: 34 93 442 51 35  </t>
  </si>
  <si>
    <t>puntotres@puntotres.com</t>
  </si>
  <si>
    <t>08918 Badalona, España</t>
  </si>
  <si>
    <t xml:space="preserve"> </t>
  </si>
  <si>
    <t xml:space="preserve">           PACKING LIST / WEIGHT LIST</t>
  </si>
  <si>
    <t>CLIENT</t>
  </si>
  <si>
    <t>A.P.C.</t>
  </si>
  <si>
    <t>DESTINATION GOODS</t>
  </si>
  <si>
    <t>CROSSLOG, 104 RUE DENIS PAPIN, 77550 MOISSY CRAMAYEL, FRANCE</t>
  </si>
  <si>
    <t>DATE / AMOUNT</t>
  </si>
  <si>
    <t>27.04.2026</t>
  </si>
  <si>
    <t>LIST OF BOXES</t>
  </si>
  <si>
    <t>INVOICE</t>
  </si>
  <si>
    <t>Nº COLIS</t>
  </si>
  <si>
    <t>MODÈLE</t>
  </si>
  <si>
    <t>Livrasion code</t>
  </si>
  <si>
    <t xml:space="preserve">COMMANDE </t>
  </si>
  <si>
    <t>RÉFÉRENCE</t>
  </si>
  <si>
    <t>DESTINATION</t>
  </si>
  <si>
    <t>COLORIS</t>
  </si>
  <si>
    <t>SIZE</t>
  </si>
  <si>
    <t>POIDS BRUT</t>
  </si>
  <si>
    <t>QUANTITE</t>
  </si>
  <si>
    <t>PALET 1</t>
  </si>
  <si>
    <t>LE NEIGE</t>
  </si>
  <si>
    <t>PUN20260428WH1</t>
  </si>
  <si>
    <t>PXCBC-F67008</t>
  </si>
  <si>
    <t>AUSTRALIA</t>
  </si>
  <si>
    <t>LZZ-NOIR</t>
  </si>
  <si>
    <t>WHOLESALE</t>
  </si>
  <si>
    <t>PALET 2</t>
  </si>
  <si>
    <t>LE NEIGE CLOU</t>
  </si>
  <si>
    <t>PXCBC-F67043</t>
  </si>
  <si>
    <t>PALET 3</t>
  </si>
  <si>
    <t>CHINE FRANCH</t>
  </si>
  <si>
    <t>PALET 4</t>
  </si>
  <si>
    <t>PORTE-CARTES DOUGH</t>
  </si>
  <si>
    <t>PXCDU-M63052</t>
  </si>
  <si>
    <t>RAB-ARGENT</t>
  </si>
  <si>
    <t>CEINTURE PARIS</t>
  </si>
  <si>
    <t>PXBHZ-H65077</t>
  </si>
  <si>
    <t>CAE-MARRON</t>
  </si>
  <si>
    <t>CEINTURE ROSETTE</t>
  </si>
  <si>
    <t>PXBHZ-F65101</t>
  </si>
  <si>
    <t>CAD-NOISETTE</t>
  </si>
  <si>
    <t>PXBVV-M63052</t>
  </si>
  <si>
    <t>TOTAL</t>
  </si>
  <si>
    <t xml:space="preserve">TOTAL WEIGHT  </t>
  </si>
  <si>
    <t>378,64 KG</t>
  </si>
  <si>
    <t>TOTAL GROSS WEIGHT (CARTON + PALET)  406,20 KG</t>
  </si>
  <si>
    <t>TOTAL VOLUME 5,088 M3</t>
  </si>
  <si>
    <t>53 CARTONS 60 x 40 x 40 cm</t>
  </si>
  <si>
    <t>TOTAL GROSS VOLUME (CARTON + PALET) 5,76 M3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</si>
</sst>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u/>
      <sz val="10.0"/>
      <color theme="10"/>
      <name val="Arial"/>
    </font>
    <font>
      <sz val="10.0"/>
      <color theme="1"/>
      <name val="Arial"/>
    </font>
    <font/>
    <font>
      <sz val="12.0"/>
      <color theme="1"/>
      <name val="Calibri"/>
    </font>
    <font>
      <b/>
      <sz val="12.0"/>
      <color theme="1"/>
      <name val="Calibri"/>
    </font>
    <font>
      <b/>
      <sz val="10.0"/>
      <color theme="1"/>
      <name val="Arial"/>
    </font>
    <font>
      <sz val="11.0"/>
      <color rgb="FF000000"/>
      <name val="Calibri"/>
    </font>
    <font>
      <sz val="11.0"/>
      <color rgb="FFFF0000"/>
      <name val="Calibri"/>
    </font>
    <font>
      <sz val="10.0"/>
      <color rgb="FFFF0000"/>
      <name val="Arial"/>
    </font>
    <font>
      <sz val="12.0"/>
      <color theme="1"/>
      <name val="Arial"/>
    </font>
    <font>
      <b/>
      <sz val="12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BFBFBF"/>
        <bgColor rgb="FFBFBFBF"/>
      </patternFill>
    </fill>
    <fill>
      <patternFill patternType="solid">
        <fgColor rgb="FFE7E6E6"/>
        <bgColor rgb="FFE7E6E6"/>
      </patternFill>
    </fill>
  </fills>
  <borders count="2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/>
      <top style="thin">
        <color rgb="FF000000"/>
      </top>
      <bottom/>
    </border>
    <border>
      <top style="thin">
        <color rgb="FF000000"/>
      </top>
    </border>
    <border>
      <left/>
      <right/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quotePrefix="1" borderId="0" fillId="0" fontId="1" numFmtId="0" xfId="0" applyAlignment="1" applyFont="1">
      <alignment horizontal="left"/>
    </xf>
    <xf borderId="0" fillId="0" fontId="3" numFmtId="0" xfId="0" applyFont="1"/>
    <xf borderId="0" fillId="0" fontId="2" numFmtId="0" xfId="0" applyAlignment="1" applyFont="1">
      <alignment horizontal="left"/>
    </xf>
    <xf quotePrefix="1" borderId="0" fillId="0" fontId="2" numFmtId="0" xfId="0" applyAlignment="1" applyFont="1">
      <alignment horizontal="left"/>
    </xf>
    <xf borderId="1" fillId="0" fontId="1" numFmtId="0" xfId="0" applyAlignment="1" applyBorder="1" applyFont="1">
      <alignment horizontal="left"/>
    </xf>
    <xf borderId="2" fillId="0" fontId="1" numFmtId="0" xfId="0" applyAlignment="1" applyBorder="1" applyFont="1">
      <alignment horizontal="left"/>
    </xf>
    <xf borderId="3" fillId="0" fontId="1" numFmtId="0" xfId="0" applyBorder="1" applyFont="1"/>
    <xf borderId="1" fillId="0" fontId="1" numFmtId="0" xfId="0" applyBorder="1" applyFont="1"/>
    <xf borderId="2" fillId="0" fontId="1" numFmtId="0" xfId="0" applyBorder="1" applyFont="1"/>
    <xf borderId="2" fillId="0" fontId="4" numFmtId="0" xfId="0" applyBorder="1" applyFont="1"/>
    <xf borderId="3" fillId="0" fontId="4" numFmtId="0" xfId="0" applyBorder="1" applyFont="1"/>
    <xf borderId="3" fillId="0" fontId="5" numFmtId="0" xfId="0" applyBorder="1" applyFont="1"/>
    <xf quotePrefix="1" borderId="1" fillId="0" fontId="6" numFmtId="0" xfId="0" applyAlignment="1" applyBorder="1" applyFont="1">
      <alignment horizontal="center"/>
    </xf>
    <xf borderId="4" fillId="0" fontId="7" numFmtId="0" xfId="0" applyAlignment="1" applyBorder="1" applyFont="1">
      <alignment horizontal="center"/>
    </xf>
    <xf borderId="5" fillId="2" fontId="2" numFmtId="0" xfId="0" applyAlignment="1" applyBorder="1" applyFill="1" applyFont="1">
      <alignment horizontal="center"/>
    </xf>
    <xf borderId="6" fillId="0" fontId="5" numFmtId="0" xfId="0" applyBorder="1" applyFont="1"/>
    <xf borderId="4" fillId="2" fontId="8" numFmtId="0" xfId="0" applyAlignment="1" applyBorder="1" applyFont="1">
      <alignment horizontal="center"/>
    </xf>
    <xf quotePrefix="1" borderId="5" fillId="2" fontId="2" numFmtId="0" xfId="0" applyAlignment="1" applyBorder="1" applyFont="1">
      <alignment horizontal="center"/>
    </xf>
    <xf borderId="7" fillId="2" fontId="2" numFmtId="0" xfId="0" applyAlignment="1" applyBorder="1" applyFont="1">
      <alignment horizontal="center"/>
    </xf>
    <xf borderId="7" fillId="2" fontId="8" numFmtId="0" xfId="0" applyAlignment="1" applyBorder="1" applyFont="1">
      <alignment horizontal="center"/>
    </xf>
    <xf borderId="5" fillId="3" fontId="2" numFmtId="0" xfId="0" applyBorder="1" applyFill="1" applyFont="1"/>
    <xf borderId="8" fillId="0" fontId="5" numFmtId="0" xfId="0" applyBorder="1" applyFont="1"/>
    <xf borderId="2" fillId="0" fontId="1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9" fillId="0" fontId="4" numFmtId="0" xfId="0" applyAlignment="1" applyBorder="1" applyFont="1">
      <alignment horizontal="center"/>
    </xf>
    <xf borderId="10" fillId="4" fontId="2" numFmtId="2" xfId="0" applyBorder="1" applyFill="1" applyFont="1" applyNumberFormat="1"/>
    <xf borderId="1" fillId="0" fontId="1" numFmtId="0" xfId="0" applyAlignment="1" applyBorder="1" applyFont="1">
      <alignment horizontal="center"/>
    </xf>
    <xf borderId="4" fillId="0" fontId="9" numFmtId="0" xfId="0" applyBorder="1" applyFont="1"/>
    <xf borderId="4" fillId="0" fontId="1" numFmtId="0" xfId="0" applyBorder="1" applyFont="1"/>
    <xf borderId="4" fillId="0" fontId="1" numFmtId="2" xfId="0" applyBorder="1" applyFont="1" applyNumberFormat="1"/>
    <xf borderId="1" fillId="3" fontId="2" numFmtId="0" xfId="0" applyBorder="1" applyFont="1"/>
    <xf borderId="11" fillId="0" fontId="1" numFmtId="0" xfId="0" applyAlignment="1" applyBorder="1" applyFont="1">
      <alignment horizontal="center"/>
    </xf>
    <xf borderId="12" fillId="0" fontId="5" numFmtId="0" xfId="0" applyBorder="1" applyFont="1"/>
    <xf borderId="13" fillId="0" fontId="1" numFmtId="2" xfId="0" applyBorder="1" applyFont="1" applyNumberFormat="1"/>
    <xf borderId="14" fillId="0" fontId="1" numFmtId="0" xfId="0" applyAlignment="1" applyBorder="1" applyFont="1">
      <alignment horizontal="center"/>
    </xf>
    <xf borderId="15" fillId="0" fontId="5" numFmtId="0" xfId="0" applyBorder="1" applyFont="1"/>
    <xf borderId="16" fillId="0" fontId="1" numFmtId="2" xfId="0" applyBorder="1" applyFont="1" applyNumberFormat="1"/>
    <xf borderId="17" fillId="0" fontId="1" numFmtId="2" xfId="0" applyBorder="1" applyFont="1" applyNumberFormat="1"/>
    <xf borderId="18" fillId="0" fontId="1" numFmtId="0" xfId="0" applyAlignment="1" applyBorder="1" applyFont="1">
      <alignment horizontal="center"/>
    </xf>
    <xf borderId="19" fillId="0" fontId="5" numFmtId="0" xfId="0" applyBorder="1" applyFont="1"/>
    <xf borderId="19" fillId="0" fontId="4" numFmtId="0" xfId="0" applyAlignment="1" applyBorder="1" applyFont="1">
      <alignment horizontal="center"/>
    </xf>
    <xf borderId="15" fillId="0" fontId="4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10" numFmtId="0" xfId="0" applyAlignment="1" applyFont="1">
      <alignment horizontal="left"/>
    </xf>
    <xf borderId="0" fillId="0" fontId="11" numFmtId="0" xfId="0" applyAlignment="1" applyFont="1">
      <alignment horizontal="left"/>
    </xf>
    <xf borderId="0" fillId="0" fontId="2" numFmtId="2" xfId="0" applyFont="1" applyNumberFormat="1"/>
    <xf borderId="20" fillId="3" fontId="7" numFmtId="0" xfId="0" applyAlignment="1" applyBorder="1" applyFont="1">
      <alignment horizontal="center"/>
    </xf>
    <xf borderId="21" fillId="0" fontId="5" numFmtId="0" xfId="0" applyBorder="1" applyFont="1"/>
    <xf borderId="22" fillId="0" fontId="5" numFmtId="0" xfId="0" applyBorder="1" applyFont="1"/>
    <xf borderId="23" fillId="3" fontId="12" numFmtId="0" xfId="0" applyBorder="1" applyFont="1"/>
    <xf borderId="23" fillId="3" fontId="8" numFmtId="0" xfId="0" applyBorder="1" applyFont="1"/>
    <xf borderId="23" fillId="3" fontId="13" numFmtId="0" xfId="0" applyBorder="1" applyFont="1"/>
    <xf borderId="0" fillId="0" fontId="1" numFmtId="0" xfId="0" applyAlignment="1" applyFont="1">
      <alignment horizontal="left"/>
    </xf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1390650" cy="8858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puntotres@puntotres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6.75"/>
    <col customWidth="1" min="3" max="3" width="2.38"/>
    <col customWidth="1" min="4" max="4" width="14.38"/>
    <col customWidth="1" min="5" max="5" width="11.63"/>
    <col customWidth="1" min="6" max="6" width="17.0"/>
    <col customWidth="1" min="7" max="8" width="6.13"/>
    <col customWidth="1" min="9" max="9" width="10.75"/>
    <col customWidth="1" min="10" max="10" width="3.63"/>
    <col customWidth="1" min="11" max="11" width="9.88"/>
    <col customWidth="1" min="12" max="12" width="4.75"/>
    <col customWidth="1" min="13" max="13" width="19.75"/>
    <col customWidth="1" min="14" max="14" width="4.75"/>
    <col customWidth="1" min="15" max="15" width="12.13"/>
    <col customWidth="1" min="16" max="16" width="11.25"/>
    <col customWidth="1" min="17" max="26" width="11.38"/>
  </cols>
  <sheetData>
    <row r="1" ht="12.75" customHeight="1">
      <c r="B1" s="1"/>
      <c r="C1" s="1"/>
      <c r="D1" s="1"/>
      <c r="E1" s="1"/>
      <c r="F1" s="1"/>
      <c r="G1" s="1"/>
      <c r="H1" s="1"/>
      <c r="I1" s="1"/>
      <c r="N1" s="2" t="s">
        <v>0</v>
      </c>
      <c r="O1" s="2"/>
      <c r="P1" s="2"/>
    </row>
    <row r="2" ht="12.75" customHeight="1">
      <c r="B2" s="1"/>
      <c r="C2" s="1"/>
      <c r="D2" s="1"/>
      <c r="E2" s="1"/>
      <c r="F2" s="1"/>
      <c r="G2" s="1"/>
      <c r="H2" s="1"/>
      <c r="I2" s="1"/>
      <c r="N2" s="1" t="s">
        <v>1</v>
      </c>
      <c r="O2" s="1"/>
      <c r="P2" s="1"/>
    </row>
    <row r="3" ht="12.75" customHeight="1">
      <c r="B3" s="1"/>
      <c r="C3" s="1"/>
      <c r="D3" s="1"/>
      <c r="E3" s="1"/>
      <c r="F3" s="1"/>
      <c r="G3" s="1"/>
      <c r="H3" s="1"/>
      <c r="I3" s="1"/>
      <c r="N3" s="3" t="s">
        <v>2</v>
      </c>
      <c r="O3" s="1"/>
      <c r="P3" s="1"/>
    </row>
    <row r="4" ht="12.75" customHeight="1">
      <c r="B4" s="1"/>
      <c r="C4" s="1"/>
      <c r="D4" s="1"/>
      <c r="E4" s="1"/>
      <c r="F4" s="1"/>
      <c r="G4" s="1"/>
      <c r="H4" s="1"/>
      <c r="I4" s="1"/>
      <c r="N4" s="4" t="s">
        <v>3</v>
      </c>
      <c r="O4" s="1"/>
      <c r="P4" s="1"/>
    </row>
    <row r="5" ht="12.75" customHeight="1">
      <c r="B5" s="1"/>
      <c r="C5" s="1"/>
      <c r="D5" s="1"/>
      <c r="E5" s="1"/>
      <c r="F5" s="1"/>
      <c r="G5" s="1"/>
      <c r="H5" s="1"/>
      <c r="I5" s="1"/>
      <c r="N5" s="1" t="s">
        <v>4</v>
      </c>
      <c r="O5" s="1"/>
      <c r="P5" s="1"/>
    </row>
    <row r="6" ht="15.0" customHeight="1">
      <c r="B6" s="1" t="s">
        <v>5</v>
      </c>
      <c r="C6" s="1" t="s">
        <v>5</v>
      </c>
      <c r="D6" s="5"/>
      <c r="E6" s="6" t="s">
        <v>6</v>
      </c>
      <c r="F6" s="5"/>
      <c r="G6" s="1"/>
      <c r="H6" s="1"/>
      <c r="I6" s="1"/>
      <c r="J6" s="1"/>
      <c r="K6" s="1"/>
      <c r="M6" s="1"/>
      <c r="N6" s="1"/>
      <c r="O6" s="1"/>
    </row>
    <row r="7" ht="4.5" customHeight="1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ht="12.75" customHeight="1">
      <c r="B8" s="1" t="s">
        <v>7</v>
      </c>
      <c r="C8" s="1"/>
      <c r="D8" s="1"/>
      <c r="E8" s="1"/>
      <c r="F8" s="7" t="s">
        <v>8</v>
      </c>
      <c r="G8" s="8"/>
      <c r="H8" s="9"/>
      <c r="K8" s="1"/>
      <c r="L8" s="1"/>
      <c r="M8" s="1"/>
      <c r="N8" s="1"/>
      <c r="O8" s="1"/>
    </row>
    <row r="9" ht="7.5" customHeight="1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ht="12.75" customHeight="1">
      <c r="B10" s="1" t="s">
        <v>9</v>
      </c>
      <c r="C10" s="1"/>
      <c r="D10" s="1"/>
      <c r="E10" s="1"/>
      <c r="F10" s="10" t="s">
        <v>10</v>
      </c>
      <c r="G10" s="11"/>
      <c r="H10" s="11"/>
      <c r="I10" s="11"/>
      <c r="J10" s="11"/>
      <c r="K10" s="11"/>
      <c r="L10" s="12"/>
      <c r="M10" s="13"/>
      <c r="N10" s="1"/>
      <c r="O10" s="1"/>
    </row>
    <row r="11" ht="7.5" customHeight="1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ht="12.75" customHeight="1">
      <c r="B12" s="1" t="s">
        <v>11</v>
      </c>
      <c r="C12" s="1"/>
      <c r="D12" s="1"/>
      <c r="E12" s="1"/>
      <c r="F12" s="7" t="s">
        <v>12</v>
      </c>
      <c r="G12" s="14"/>
      <c r="J12" s="1"/>
      <c r="K12" s="1" t="s">
        <v>5</v>
      </c>
      <c r="L12" s="1" t="s">
        <v>5</v>
      </c>
      <c r="M12" s="1"/>
      <c r="N12" s="1"/>
      <c r="O12" s="1"/>
    </row>
    <row r="13" ht="7.5" customHeight="1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ht="12.75" customHeight="1">
      <c r="B14" s="1" t="s">
        <v>13</v>
      </c>
      <c r="C14" s="1"/>
      <c r="D14" s="1"/>
      <c r="E14" s="1"/>
      <c r="F14" s="1"/>
      <c r="G14" s="1"/>
      <c r="H14" s="1"/>
      <c r="I14" s="1"/>
      <c r="J14" s="1"/>
      <c r="M14" s="1"/>
      <c r="N14" s="15" t="s">
        <v>14</v>
      </c>
      <c r="O14" s="14"/>
      <c r="P14" s="16">
        <v>260142.0</v>
      </c>
    </row>
    <row r="15" ht="7.5" customHeight="1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ht="16.5" customHeight="1">
      <c r="B16" s="17" t="s">
        <v>15</v>
      </c>
      <c r="C16" s="18"/>
      <c r="D16" s="17" t="s">
        <v>16</v>
      </c>
      <c r="E16" s="18"/>
      <c r="F16" s="19" t="s">
        <v>17</v>
      </c>
      <c r="G16" s="17" t="s">
        <v>18</v>
      </c>
      <c r="H16" s="18"/>
      <c r="I16" s="20" t="s">
        <v>19</v>
      </c>
      <c r="J16" s="18"/>
      <c r="K16" s="17" t="s">
        <v>20</v>
      </c>
      <c r="L16" s="18"/>
      <c r="M16" s="21" t="s">
        <v>21</v>
      </c>
      <c r="N16" s="21" t="s">
        <v>22</v>
      </c>
      <c r="O16" s="21" t="s">
        <v>23</v>
      </c>
      <c r="P16" s="22" t="s">
        <v>24</v>
      </c>
    </row>
    <row r="17" ht="12.75" customHeight="1">
      <c r="B17" s="23" t="s">
        <v>25</v>
      </c>
      <c r="C17" s="24"/>
      <c r="D17" s="25"/>
      <c r="E17" s="26"/>
      <c r="F17" s="27"/>
      <c r="G17" s="25"/>
      <c r="H17" s="12"/>
      <c r="I17" s="8"/>
      <c r="J17" s="12"/>
      <c r="K17" s="25"/>
      <c r="L17" s="26"/>
      <c r="M17" s="11"/>
      <c r="N17" s="11"/>
      <c r="O17" s="28">
        <f>SUM(O18:O33)+8.04</f>
        <v>130.46</v>
      </c>
      <c r="P17" s="13"/>
    </row>
    <row r="18" ht="15.0" customHeight="1">
      <c r="B18" s="29">
        <v>1.0</v>
      </c>
      <c r="C18" s="14"/>
      <c r="D18" s="25" t="s">
        <v>26</v>
      </c>
      <c r="E18" s="14"/>
      <c r="F18" s="30" t="s">
        <v>27</v>
      </c>
      <c r="G18" s="29">
        <v>4.10012678E9</v>
      </c>
      <c r="H18" s="14"/>
      <c r="I18" s="8" t="s">
        <v>28</v>
      </c>
      <c r="J18" s="14"/>
      <c r="K18" s="29" t="s">
        <v>29</v>
      </c>
      <c r="L18" s="14"/>
      <c r="M18" s="31" t="s">
        <v>30</v>
      </c>
      <c r="N18" s="10"/>
      <c r="O18" s="32">
        <v>8.18</v>
      </c>
      <c r="P18" s="13">
        <v>11.0</v>
      </c>
    </row>
    <row r="19" ht="15.0" customHeight="1">
      <c r="B19" s="29">
        <v>2.0</v>
      </c>
      <c r="C19" s="14"/>
      <c r="D19" s="25" t="s">
        <v>26</v>
      </c>
      <c r="E19" s="14"/>
      <c r="F19" s="30" t="s">
        <v>27</v>
      </c>
      <c r="G19" s="29">
        <v>4.10012678E9</v>
      </c>
      <c r="H19" s="14"/>
      <c r="I19" s="8" t="s">
        <v>28</v>
      </c>
      <c r="J19" s="14"/>
      <c r="K19" s="29" t="s">
        <v>29</v>
      </c>
      <c r="L19" s="14"/>
      <c r="M19" s="31" t="s">
        <v>30</v>
      </c>
      <c r="N19" s="10"/>
      <c r="O19" s="32">
        <v>8.18</v>
      </c>
      <c r="P19" s="13">
        <v>11.0</v>
      </c>
    </row>
    <row r="20" ht="15.0" customHeight="1">
      <c r="B20" s="29">
        <v>3.0</v>
      </c>
      <c r="C20" s="14"/>
      <c r="D20" s="25" t="s">
        <v>26</v>
      </c>
      <c r="E20" s="14"/>
      <c r="F20" s="30" t="s">
        <v>27</v>
      </c>
      <c r="G20" s="29">
        <v>4.10012678E9</v>
      </c>
      <c r="H20" s="14"/>
      <c r="I20" s="8" t="s">
        <v>28</v>
      </c>
      <c r="J20" s="14"/>
      <c r="K20" s="29" t="s">
        <v>29</v>
      </c>
      <c r="L20" s="14"/>
      <c r="M20" s="31" t="s">
        <v>30</v>
      </c>
      <c r="N20" s="10"/>
      <c r="O20" s="32">
        <v>8.82</v>
      </c>
      <c r="P20" s="13">
        <v>12.0</v>
      </c>
    </row>
    <row r="21" ht="15.0" customHeight="1">
      <c r="B21" s="29">
        <v>4.0</v>
      </c>
      <c r="C21" s="14"/>
      <c r="D21" s="25" t="s">
        <v>26</v>
      </c>
      <c r="E21" s="14"/>
      <c r="F21" s="30" t="s">
        <v>27</v>
      </c>
      <c r="G21" s="29">
        <v>4.100126779E9</v>
      </c>
      <c r="H21" s="14"/>
      <c r="I21" s="8" t="s">
        <v>28</v>
      </c>
      <c r="J21" s="14"/>
      <c r="K21" s="29" t="s">
        <v>31</v>
      </c>
      <c r="L21" s="14"/>
      <c r="M21" s="31" t="s">
        <v>30</v>
      </c>
      <c r="N21" s="10"/>
      <c r="O21" s="32">
        <v>7.48</v>
      </c>
      <c r="P21" s="13">
        <v>10.0</v>
      </c>
    </row>
    <row r="22" ht="15.0" customHeight="1">
      <c r="B22" s="29">
        <v>5.0</v>
      </c>
      <c r="C22" s="14"/>
      <c r="D22" s="25" t="s">
        <v>26</v>
      </c>
      <c r="E22" s="14"/>
      <c r="F22" s="30" t="s">
        <v>27</v>
      </c>
      <c r="G22" s="29">
        <v>4.100126779E9</v>
      </c>
      <c r="H22" s="14"/>
      <c r="I22" s="8" t="s">
        <v>28</v>
      </c>
      <c r="J22" s="14"/>
      <c r="K22" s="29" t="s">
        <v>31</v>
      </c>
      <c r="L22" s="14"/>
      <c r="M22" s="31" t="s">
        <v>30</v>
      </c>
      <c r="N22" s="10"/>
      <c r="O22" s="32">
        <v>7.48</v>
      </c>
      <c r="P22" s="13">
        <v>10.0</v>
      </c>
    </row>
    <row r="23" ht="15.0" customHeight="1">
      <c r="B23" s="29">
        <v>6.0</v>
      </c>
      <c r="C23" s="14"/>
      <c r="D23" s="25" t="s">
        <v>26</v>
      </c>
      <c r="E23" s="14"/>
      <c r="F23" s="30" t="s">
        <v>27</v>
      </c>
      <c r="G23" s="29">
        <v>4.100126779E9</v>
      </c>
      <c r="H23" s="14"/>
      <c r="I23" s="8" t="s">
        <v>28</v>
      </c>
      <c r="J23" s="14"/>
      <c r="K23" s="29" t="s">
        <v>31</v>
      </c>
      <c r="L23" s="14"/>
      <c r="M23" s="31" t="s">
        <v>30</v>
      </c>
      <c r="N23" s="10"/>
      <c r="O23" s="32">
        <v>7.48</v>
      </c>
      <c r="P23" s="13">
        <v>10.0</v>
      </c>
    </row>
    <row r="24" ht="15.0" customHeight="1">
      <c r="B24" s="29">
        <v>7.0</v>
      </c>
      <c r="C24" s="14"/>
      <c r="D24" s="25" t="s">
        <v>26</v>
      </c>
      <c r="E24" s="14"/>
      <c r="F24" s="30" t="s">
        <v>27</v>
      </c>
      <c r="G24" s="29">
        <v>4.100126779E9</v>
      </c>
      <c r="H24" s="14"/>
      <c r="I24" s="8" t="s">
        <v>28</v>
      </c>
      <c r="J24" s="14"/>
      <c r="K24" s="29" t="s">
        <v>31</v>
      </c>
      <c r="L24" s="14"/>
      <c r="M24" s="31" t="s">
        <v>30</v>
      </c>
      <c r="N24" s="10"/>
      <c r="O24" s="32">
        <v>7.48</v>
      </c>
      <c r="P24" s="13">
        <v>10.0</v>
      </c>
    </row>
    <row r="25" ht="15.0" customHeight="1">
      <c r="B25" s="29">
        <v>8.0</v>
      </c>
      <c r="C25" s="14"/>
      <c r="D25" s="25" t="s">
        <v>26</v>
      </c>
      <c r="E25" s="14"/>
      <c r="F25" s="30" t="s">
        <v>27</v>
      </c>
      <c r="G25" s="29">
        <v>4.100126779E9</v>
      </c>
      <c r="H25" s="14"/>
      <c r="I25" s="8" t="s">
        <v>28</v>
      </c>
      <c r="J25" s="14"/>
      <c r="K25" s="29" t="s">
        <v>31</v>
      </c>
      <c r="L25" s="14"/>
      <c r="M25" s="31" t="s">
        <v>30</v>
      </c>
      <c r="N25" s="10"/>
      <c r="O25" s="32">
        <v>7.48</v>
      </c>
      <c r="P25" s="13">
        <v>10.0</v>
      </c>
    </row>
    <row r="26" ht="15.0" customHeight="1">
      <c r="B26" s="29">
        <v>9.0</v>
      </c>
      <c r="C26" s="14"/>
      <c r="D26" s="25" t="s">
        <v>26</v>
      </c>
      <c r="E26" s="14"/>
      <c r="F26" s="30" t="s">
        <v>27</v>
      </c>
      <c r="G26" s="29">
        <v>4.100126779E9</v>
      </c>
      <c r="H26" s="14"/>
      <c r="I26" s="8" t="s">
        <v>28</v>
      </c>
      <c r="J26" s="14"/>
      <c r="K26" s="29" t="s">
        <v>31</v>
      </c>
      <c r="L26" s="14"/>
      <c r="M26" s="31" t="s">
        <v>30</v>
      </c>
      <c r="N26" s="10"/>
      <c r="O26" s="32">
        <v>7.48</v>
      </c>
      <c r="P26" s="13">
        <v>10.0</v>
      </c>
    </row>
    <row r="27" ht="15.0" customHeight="1">
      <c r="B27" s="29">
        <v>10.0</v>
      </c>
      <c r="C27" s="14"/>
      <c r="D27" s="25" t="s">
        <v>26</v>
      </c>
      <c r="E27" s="14"/>
      <c r="F27" s="30" t="s">
        <v>27</v>
      </c>
      <c r="G27" s="29">
        <v>4.100126779E9</v>
      </c>
      <c r="H27" s="14"/>
      <c r="I27" s="8" t="s">
        <v>28</v>
      </c>
      <c r="J27" s="14"/>
      <c r="K27" s="29" t="s">
        <v>31</v>
      </c>
      <c r="L27" s="14"/>
      <c r="M27" s="31" t="s">
        <v>30</v>
      </c>
      <c r="N27" s="10"/>
      <c r="O27" s="32">
        <v>7.48</v>
      </c>
      <c r="P27" s="13">
        <v>10.0</v>
      </c>
    </row>
    <row r="28" ht="15.0" customHeight="1">
      <c r="B28" s="29">
        <v>11.0</v>
      </c>
      <c r="C28" s="14"/>
      <c r="D28" s="25" t="s">
        <v>26</v>
      </c>
      <c r="E28" s="14"/>
      <c r="F28" s="30" t="s">
        <v>27</v>
      </c>
      <c r="G28" s="29">
        <v>4.100126779E9</v>
      </c>
      <c r="H28" s="14"/>
      <c r="I28" s="8" t="s">
        <v>28</v>
      </c>
      <c r="J28" s="14"/>
      <c r="K28" s="29" t="s">
        <v>31</v>
      </c>
      <c r="L28" s="14"/>
      <c r="M28" s="31" t="s">
        <v>30</v>
      </c>
      <c r="N28" s="10"/>
      <c r="O28" s="32">
        <v>7.48</v>
      </c>
      <c r="P28" s="13">
        <v>10.0</v>
      </c>
    </row>
    <row r="29" ht="15.0" customHeight="1">
      <c r="B29" s="29">
        <v>12.0</v>
      </c>
      <c r="C29" s="14"/>
      <c r="D29" s="25" t="s">
        <v>26</v>
      </c>
      <c r="E29" s="14"/>
      <c r="F29" s="30" t="s">
        <v>27</v>
      </c>
      <c r="G29" s="29">
        <v>4.100126779E9</v>
      </c>
      <c r="H29" s="14"/>
      <c r="I29" s="8" t="s">
        <v>28</v>
      </c>
      <c r="J29" s="14"/>
      <c r="K29" s="29" t="s">
        <v>31</v>
      </c>
      <c r="L29" s="14"/>
      <c r="M29" s="31" t="s">
        <v>30</v>
      </c>
      <c r="N29" s="10"/>
      <c r="O29" s="32">
        <v>7.48</v>
      </c>
      <c r="P29" s="13">
        <v>10.0</v>
      </c>
    </row>
    <row r="30" ht="15.0" customHeight="1">
      <c r="B30" s="29">
        <v>13.0</v>
      </c>
      <c r="C30" s="14"/>
      <c r="D30" s="25" t="s">
        <v>26</v>
      </c>
      <c r="E30" s="14"/>
      <c r="F30" s="30" t="s">
        <v>27</v>
      </c>
      <c r="G30" s="29">
        <v>4.100126779E9</v>
      </c>
      <c r="H30" s="14"/>
      <c r="I30" s="8" t="s">
        <v>28</v>
      </c>
      <c r="J30" s="14"/>
      <c r="K30" s="29" t="s">
        <v>31</v>
      </c>
      <c r="L30" s="14"/>
      <c r="M30" s="31" t="s">
        <v>30</v>
      </c>
      <c r="N30" s="10"/>
      <c r="O30" s="32">
        <v>7.48</v>
      </c>
      <c r="P30" s="13">
        <v>10.0</v>
      </c>
    </row>
    <row r="31" ht="15.0" customHeight="1">
      <c r="B31" s="29">
        <v>14.0</v>
      </c>
      <c r="C31" s="14"/>
      <c r="D31" s="25" t="s">
        <v>26</v>
      </c>
      <c r="E31" s="14"/>
      <c r="F31" s="30" t="s">
        <v>27</v>
      </c>
      <c r="G31" s="29">
        <v>4.100126779E9</v>
      </c>
      <c r="H31" s="14"/>
      <c r="I31" s="8" t="s">
        <v>28</v>
      </c>
      <c r="J31" s="14"/>
      <c r="K31" s="29" t="s">
        <v>31</v>
      </c>
      <c r="L31" s="14"/>
      <c r="M31" s="31" t="s">
        <v>30</v>
      </c>
      <c r="N31" s="10"/>
      <c r="O31" s="32">
        <v>7.48</v>
      </c>
      <c r="P31" s="13">
        <v>10.0</v>
      </c>
    </row>
    <row r="32" ht="15.0" customHeight="1">
      <c r="B32" s="29">
        <v>15.0</v>
      </c>
      <c r="C32" s="14"/>
      <c r="D32" s="25" t="s">
        <v>26</v>
      </c>
      <c r="E32" s="14"/>
      <c r="F32" s="30" t="s">
        <v>27</v>
      </c>
      <c r="G32" s="29">
        <v>4.100126779E9</v>
      </c>
      <c r="H32" s="14"/>
      <c r="I32" s="8" t="s">
        <v>28</v>
      </c>
      <c r="J32" s="14"/>
      <c r="K32" s="29" t="s">
        <v>31</v>
      </c>
      <c r="L32" s="14"/>
      <c r="M32" s="31" t="s">
        <v>30</v>
      </c>
      <c r="N32" s="10"/>
      <c r="O32" s="32">
        <v>7.48</v>
      </c>
      <c r="P32" s="13">
        <v>10.0</v>
      </c>
    </row>
    <row r="33" ht="15.0" customHeight="1">
      <c r="B33" s="29">
        <v>16.0</v>
      </c>
      <c r="C33" s="14"/>
      <c r="D33" s="25" t="s">
        <v>26</v>
      </c>
      <c r="E33" s="14"/>
      <c r="F33" s="30" t="s">
        <v>27</v>
      </c>
      <c r="G33" s="29">
        <v>4.100126779E9</v>
      </c>
      <c r="H33" s="14"/>
      <c r="I33" s="8" t="s">
        <v>28</v>
      </c>
      <c r="J33" s="14"/>
      <c r="K33" s="29" t="s">
        <v>31</v>
      </c>
      <c r="L33" s="14"/>
      <c r="M33" s="31" t="s">
        <v>30</v>
      </c>
      <c r="N33" s="10"/>
      <c r="O33" s="32">
        <v>7.48</v>
      </c>
      <c r="P33" s="13">
        <v>10.0</v>
      </c>
    </row>
    <row r="34" ht="12.75" customHeight="1">
      <c r="B34" s="33" t="s">
        <v>32</v>
      </c>
      <c r="C34" s="14"/>
      <c r="D34" s="25"/>
      <c r="E34" s="26"/>
      <c r="F34" s="27"/>
      <c r="G34" s="25"/>
      <c r="H34" s="12"/>
      <c r="I34" s="8"/>
      <c r="J34" s="12"/>
      <c r="K34" s="25"/>
      <c r="L34" s="26"/>
      <c r="M34" s="11"/>
      <c r="N34" s="11"/>
      <c r="O34" s="28">
        <f>SUM(O35:O50)+8</f>
        <v>115.34</v>
      </c>
      <c r="P34" s="13"/>
    </row>
    <row r="35" ht="15.0" customHeight="1">
      <c r="B35" s="29">
        <v>17.0</v>
      </c>
      <c r="C35" s="14"/>
      <c r="D35" s="25" t="s">
        <v>26</v>
      </c>
      <c r="E35" s="14"/>
      <c r="F35" s="30" t="s">
        <v>27</v>
      </c>
      <c r="G35" s="29">
        <v>4.100126779E9</v>
      </c>
      <c r="H35" s="14"/>
      <c r="I35" s="8" t="s">
        <v>28</v>
      </c>
      <c r="J35" s="14"/>
      <c r="K35" s="29" t="s">
        <v>31</v>
      </c>
      <c r="L35" s="14"/>
      <c r="M35" s="31" t="s">
        <v>30</v>
      </c>
      <c r="N35" s="10"/>
      <c r="O35" s="32">
        <v>7.48</v>
      </c>
      <c r="P35" s="13">
        <v>10.0</v>
      </c>
    </row>
    <row r="36" ht="15.0" customHeight="1">
      <c r="B36" s="29">
        <v>18.0</v>
      </c>
      <c r="C36" s="14"/>
      <c r="D36" s="25" t="s">
        <v>26</v>
      </c>
      <c r="E36" s="14"/>
      <c r="F36" s="30" t="s">
        <v>27</v>
      </c>
      <c r="G36" s="29">
        <v>4.100126779E9</v>
      </c>
      <c r="H36" s="14"/>
      <c r="I36" s="8" t="s">
        <v>28</v>
      </c>
      <c r="J36" s="14"/>
      <c r="K36" s="29" t="s">
        <v>31</v>
      </c>
      <c r="L36" s="14"/>
      <c r="M36" s="31" t="s">
        <v>30</v>
      </c>
      <c r="N36" s="10"/>
      <c r="O36" s="32">
        <v>7.48</v>
      </c>
      <c r="P36" s="13">
        <v>10.0</v>
      </c>
    </row>
    <row r="37" ht="15.0" customHeight="1">
      <c r="B37" s="29">
        <v>19.0</v>
      </c>
      <c r="C37" s="14"/>
      <c r="D37" s="25" t="s">
        <v>26</v>
      </c>
      <c r="E37" s="14"/>
      <c r="F37" s="30" t="s">
        <v>27</v>
      </c>
      <c r="G37" s="29">
        <v>4.100126779E9</v>
      </c>
      <c r="H37" s="14"/>
      <c r="I37" s="8" t="s">
        <v>28</v>
      </c>
      <c r="J37" s="14"/>
      <c r="K37" s="29" t="s">
        <v>31</v>
      </c>
      <c r="L37" s="14"/>
      <c r="M37" s="31" t="s">
        <v>30</v>
      </c>
      <c r="N37" s="10"/>
      <c r="O37" s="32">
        <v>5.8</v>
      </c>
      <c r="P37" s="13">
        <v>7.0</v>
      </c>
    </row>
    <row r="38" ht="15.0" customHeight="1">
      <c r="B38" s="29">
        <v>20.0</v>
      </c>
      <c r="C38" s="14"/>
      <c r="D38" s="25" t="s">
        <v>33</v>
      </c>
      <c r="E38" s="14"/>
      <c r="F38" s="30" t="s">
        <v>27</v>
      </c>
      <c r="G38" s="29">
        <v>4.100126782E9</v>
      </c>
      <c r="H38" s="14"/>
      <c r="I38" s="8" t="s">
        <v>34</v>
      </c>
      <c r="J38" s="14"/>
      <c r="K38" s="29" t="s">
        <v>31</v>
      </c>
      <c r="L38" s="14"/>
      <c r="M38" s="31" t="s">
        <v>30</v>
      </c>
      <c r="N38" s="10"/>
      <c r="O38" s="32">
        <v>6.66</v>
      </c>
      <c r="P38" s="13">
        <v>10.0</v>
      </c>
    </row>
    <row r="39" ht="15.0" customHeight="1">
      <c r="B39" s="29">
        <v>21.0</v>
      </c>
      <c r="C39" s="14"/>
      <c r="D39" s="25" t="s">
        <v>33</v>
      </c>
      <c r="E39" s="14"/>
      <c r="F39" s="30" t="s">
        <v>27</v>
      </c>
      <c r="G39" s="29">
        <v>4.100126782E9</v>
      </c>
      <c r="H39" s="14"/>
      <c r="I39" s="8" t="s">
        <v>34</v>
      </c>
      <c r="J39" s="14"/>
      <c r="K39" s="29" t="s">
        <v>31</v>
      </c>
      <c r="L39" s="14"/>
      <c r="M39" s="31" t="s">
        <v>30</v>
      </c>
      <c r="N39" s="10"/>
      <c r="O39" s="32">
        <v>6.66</v>
      </c>
      <c r="P39" s="13">
        <v>10.0</v>
      </c>
    </row>
    <row r="40" ht="15.0" customHeight="1">
      <c r="B40" s="29">
        <v>22.0</v>
      </c>
      <c r="C40" s="14"/>
      <c r="D40" s="25" t="s">
        <v>33</v>
      </c>
      <c r="E40" s="14"/>
      <c r="F40" s="30" t="s">
        <v>27</v>
      </c>
      <c r="G40" s="29">
        <v>4.100126782E9</v>
      </c>
      <c r="H40" s="14"/>
      <c r="I40" s="8" t="s">
        <v>34</v>
      </c>
      <c r="J40" s="14"/>
      <c r="K40" s="29" t="s">
        <v>31</v>
      </c>
      <c r="L40" s="14"/>
      <c r="M40" s="31" t="s">
        <v>30</v>
      </c>
      <c r="N40" s="10"/>
      <c r="O40" s="32">
        <v>6.66</v>
      </c>
      <c r="P40" s="13">
        <v>10.0</v>
      </c>
    </row>
    <row r="41" ht="15.0" customHeight="1">
      <c r="B41" s="29">
        <v>23.0</v>
      </c>
      <c r="C41" s="14"/>
      <c r="D41" s="25" t="s">
        <v>33</v>
      </c>
      <c r="E41" s="14"/>
      <c r="F41" s="30" t="s">
        <v>27</v>
      </c>
      <c r="G41" s="29">
        <v>4.100126782E9</v>
      </c>
      <c r="H41" s="14"/>
      <c r="I41" s="8" t="s">
        <v>34</v>
      </c>
      <c r="J41" s="14"/>
      <c r="K41" s="29" t="s">
        <v>31</v>
      </c>
      <c r="L41" s="14"/>
      <c r="M41" s="31" t="s">
        <v>30</v>
      </c>
      <c r="N41" s="10"/>
      <c r="O41" s="32">
        <v>6.66</v>
      </c>
      <c r="P41" s="13">
        <v>10.0</v>
      </c>
    </row>
    <row r="42" ht="15.0" customHeight="1">
      <c r="B42" s="29">
        <v>24.0</v>
      </c>
      <c r="C42" s="14"/>
      <c r="D42" s="25" t="s">
        <v>33</v>
      </c>
      <c r="E42" s="14"/>
      <c r="F42" s="30" t="s">
        <v>27</v>
      </c>
      <c r="G42" s="29">
        <v>4.100126782E9</v>
      </c>
      <c r="H42" s="14"/>
      <c r="I42" s="8" t="s">
        <v>34</v>
      </c>
      <c r="J42" s="14"/>
      <c r="K42" s="29" t="s">
        <v>31</v>
      </c>
      <c r="L42" s="14"/>
      <c r="M42" s="31" t="s">
        <v>30</v>
      </c>
      <c r="N42" s="10"/>
      <c r="O42" s="32">
        <v>6.66</v>
      </c>
      <c r="P42" s="13">
        <v>10.0</v>
      </c>
    </row>
    <row r="43" ht="15.0" customHeight="1">
      <c r="B43" s="29">
        <v>25.0</v>
      </c>
      <c r="C43" s="14"/>
      <c r="D43" s="25" t="s">
        <v>33</v>
      </c>
      <c r="E43" s="14"/>
      <c r="F43" s="30" t="s">
        <v>27</v>
      </c>
      <c r="G43" s="29">
        <v>4.100126782E9</v>
      </c>
      <c r="H43" s="14"/>
      <c r="I43" s="8" t="s">
        <v>34</v>
      </c>
      <c r="J43" s="14"/>
      <c r="K43" s="29" t="s">
        <v>31</v>
      </c>
      <c r="L43" s="14"/>
      <c r="M43" s="31" t="s">
        <v>30</v>
      </c>
      <c r="N43" s="10"/>
      <c r="O43" s="32">
        <v>6.66</v>
      </c>
      <c r="P43" s="13">
        <v>10.0</v>
      </c>
    </row>
    <row r="44" ht="15.0" customHeight="1">
      <c r="B44" s="29">
        <v>26.0</v>
      </c>
      <c r="C44" s="14"/>
      <c r="D44" s="25" t="s">
        <v>33</v>
      </c>
      <c r="E44" s="14"/>
      <c r="F44" s="30" t="s">
        <v>27</v>
      </c>
      <c r="G44" s="29">
        <v>4.100126782E9</v>
      </c>
      <c r="H44" s="14"/>
      <c r="I44" s="8" t="s">
        <v>34</v>
      </c>
      <c r="J44" s="14"/>
      <c r="K44" s="29" t="s">
        <v>31</v>
      </c>
      <c r="L44" s="14"/>
      <c r="M44" s="31" t="s">
        <v>30</v>
      </c>
      <c r="N44" s="10"/>
      <c r="O44" s="32">
        <v>6.66</v>
      </c>
      <c r="P44" s="13">
        <v>10.0</v>
      </c>
    </row>
    <row r="45" ht="15.0" customHeight="1">
      <c r="B45" s="29">
        <v>27.0</v>
      </c>
      <c r="C45" s="14"/>
      <c r="D45" s="25" t="s">
        <v>33</v>
      </c>
      <c r="E45" s="14"/>
      <c r="F45" s="30" t="s">
        <v>27</v>
      </c>
      <c r="G45" s="29">
        <v>4.100126782E9</v>
      </c>
      <c r="H45" s="14"/>
      <c r="I45" s="8" t="s">
        <v>34</v>
      </c>
      <c r="J45" s="14"/>
      <c r="K45" s="29" t="s">
        <v>31</v>
      </c>
      <c r="L45" s="14"/>
      <c r="M45" s="31" t="s">
        <v>30</v>
      </c>
      <c r="N45" s="10"/>
      <c r="O45" s="32">
        <v>6.66</v>
      </c>
      <c r="P45" s="13">
        <v>10.0</v>
      </c>
    </row>
    <row r="46" ht="15.0" customHeight="1">
      <c r="B46" s="29">
        <v>28.0</v>
      </c>
      <c r="C46" s="14"/>
      <c r="D46" s="29" t="s">
        <v>33</v>
      </c>
      <c r="E46" s="14"/>
      <c r="F46" s="30" t="s">
        <v>27</v>
      </c>
      <c r="G46" s="29">
        <v>4.100126782E9</v>
      </c>
      <c r="H46" s="14"/>
      <c r="I46" s="8" t="s">
        <v>34</v>
      </c>
      <c r="J46" s="14"/>
      <c r="K46" s="29" t="s">
        <v>31</v>
      </c>
      <c r="L46" s="14"/>
      <c r="M46" s="31" t="s">
        <v>30</v>
      </c>
      <c r="N46" s="10"/>
      <c r="O46" s="32">
        <v>6.66</v>
      </c>
      <c r="P46" s="13">
        <v>10.0</v>
      </c>
    </row>
    <row r="47" ht="15.0" customHeight="1">
      <c r="B47" s="29">
        <v>29.0</v>
      </c>
      <c r="C47" s="14"/>
      <c r="D47" s="25" t="s">
        <v>33</v>
      </c>
      <c r="E47" s="14"/>
      <c r="F47" s="30" t="s">
        <v>27</v>
      </c>
      <c r="G47" s="29">
        <v>4.100126782E9</v>
      </c>
      <c r="H47" s="14"/>
      <c r="I47" s="8" t="s">
        <v>34</v>
      </c>
      <c r="J47" s="14"/>
      <c r="K47" s="29" t="s">
        <v>31</v>
      </c>
      <c r="L47" s="14"/>
      <c r="M47" s="31" t="s">
        <v>30</v>
      </c>
      <c r="N47" s="10"/>
      <c r="O47" s="32">
        <v>6.66</v>
      </c>
      <c r="P47" s="13">
        <v>10.0</v>
      </c>
    </row>
    <row r="48" ht="15.0" customHeight="1">
      <c r="B48" s="29">
        <v>30.0</v>
      </c>
      <c r="C48" s="14"/>
      <c r="D48" s="25" t="s">
        <v>33</v>
      </c>
      <c r="E48" s="14"/>
      <c r="F48" s="30" t="s">
        <v>27</v>
      </c>
      <c r="G48" s="29">
        <v>4.100126782E9</v>
      </c>
      <c r="H48" s="14"/>
      <c r="I48" s="8" t="s">
        <v>34</v>
      </c>
      <c r="J48" s="14"/>
      <c r="K48" s="29" t="s">
        <v>31</v>
      </c>
      <c r="L48" s="14"/>
      <c r="M48" s="31" t="s">
        <v>30</v>
      </c>
      <c r="N48" s="10"/>
      <c r="O48" s="32">
        <v>6.66</v>
      </c>
      <c r="P48" s="13">
        <v>10.0</v>
      </c>
    </row>
    <row r="49" ht="15.0" customHeight="1">
      <c r="B49" s="29">
        <v>31.0</v>
      </c>
      <c r="C49" s="14"/>
      <c r="D49" s="25" t="s">
        <v>33</v>
      </c>
      <c r="E49" s="14"/>
      <c r="F49" s="30" t="s">
        <v>27</v>
      </c>
      <c r="G49" s="29">
        <v>4.100126782E9</v>
      </c>
      <c r="H49" s="14"/>
      <c r="I49" s="8" t="s">
        <v>34</v>
      </c>
      <c r="J49" s="14"/>
      <c r="K49" s="29" t="s">
        <v>31</v>
      </c>
      <c r="L49" s="14"/>
      <c r="M49" s="31" t="s">
        <v>30</v>
      </c>
      <c r="N49" s="10"/>
      <c r="O49" s="32">
        <v>6.66</v>
      </c>
      <c r="P49" s="13">
        <v>10.0</v>
      </c>
    </row>
    <row r="50" ht="15.0" customHeight="1">
      <c r="B50" s="29">
        <v>32.0</v>
      </c>
      <c r="C50" s="14"/>
      <c r="D50" s="25" t="s">
        <v>33</v>
      </c>
      <c r="E50" s="14"/>
      <c r="F50" s="30" t="s">
        <v>27</v>
      </c>
      <c r="G50" s="29">
        <v>4.100126782E9</v>
      </c>
      <c r="H50" s="14"/>
      <c r="I50" s="8" t="s">
        <v>34</v>
      </c>
      <c r="J50" s="14"/>
      <c r="K50" s="29" t="s">
        <v>31</v>
      </c>
      <c r="L50" s="14"/>
      <c r="M50" s="31" t="s">
        <v>30</v>
      </c>
      <c r="N50" s="10"/>
      <c r="O50" s="32">
        <v>6.66</v>
      </c>
      <c r="P50" s="13">
        <v>10.0</v>
      </c>
    </row>
    <row r="51" ht="12.75" customHeight="1">
      <c r="B51" s="23" t="s">
        <v>35</v>
      </c>
      <c r="C51" s="24"/>
      <c r="D51" s="25"/>
      <c r="E51" s="26"/>
      <c r="F51" s="27"/>
      <c r="G51" s="25"/>
      <c r="H51" s="12"/>
      <c r="I51" s="8"/>
      <c r="J51" s="12"/>
      <c r="K51" s="25"/>
      <c r="L51" s="26"/>
      <c r="M51" s="11"/>
      <c r="N51" s="11"/>
      <c r="O51" s="28">
        <f>SUM(O52:O68)+11.2</f>
        <v>116.44</v>
      </c>
      <c r="P51" s="13"/>
    </row>
    <row r="52" ht="15.0" customHeight="1">
      <c r="B52" s="29">
        <v>33.0</v>
      </c>
      <c r="C52" s="14"/>
      <c r="D52" s="25" t="s">
        <v>33</v>
      </c>
      <c r="E52" s="14"/>
      <c r="F52" s="30" t="s">
        <v>27</v>
      </c>
      <c r="G52" s="29">
        <v>4.100126782E9</v>
      </c>
      <c r="H52" s="14"/>
      <c r="I52" s="8" t="s">
        <v>34</v>
      </c>
      <c r="J52" s="14"/>
      <c r="K52" s="29" t="s">
        <v>31</v>
      </c>
      <c r="L52" s="14"/>
      <c r="M52" s="31" t="s">
        <v>30</v>
      </c>
      <c r="N52" s="10"/>
      <c r="O52" s="32">
        <v>6.66</v>
      </c>
      <c r="P52" s="13">
        <v>10.0</v>
      </c>
    </row>
    <row r="53" ht="15.0" customHeight="1">
      <c r="B53" s="29">
        <v>34.0</v>
      </c>
      <c r="C53" s="14"/>
      <c r="D53" s="25" t="s">
        <v>33</v>
      </c>
      <c r="E53" s="14"/>
      <c r="F53" s="30" t="s">
        <v>27</v>
      </c>
      <c r="G53" s="29">
        <v>4.100126782E9</v>
      </c>
      <c r="H53" s="14"/>
      <c r="I53" s="8" t="s">
        <v>34</v>
      </c>
      <c r="J53" s="14"/>
      <c r="K53" s="29" t="s">
        <v>31</v>
      </c>
      <c r="L53" s="14"/>
      <c r="M53" s="31" t="s">
        <v>30</v>
      </c>
      <c r="N53" s="10"/>
      <c r="O53" s="32">
        <v>6.66</v>
      </c>
      <c r="P53" s="13">
        <v>10.0</v>
      </c>
    </row>
    <row r="54" ht="15.0" customHeight="1">
      <c r="B54" s="29">
        <v>35.0</v>
      </c>
      <c r="C54" s="14"/>
      <c r="D54" s="25" t="s">
        <v>33</v>
      </c>
      <c r="E54" s="14"/>
      <c r="F54" s="30" t="s">
        <v>27</v>
      </c>
      <c r="G54" s="29">
        <v>4.100126782E9</v>
      </c>
      <c r="H54" s="14"/>
      <c r="I54" s="8" t="s">
        <v>34</v>
      </c>
      <c r="J54" s="14"/>
      <c r="K54" s="29" t="s">
        <v>31</v>
      </c>
      <c r="L54" s="14"/>
      <c r="M54" s="31" t="s">
        <v>30</v>
      </c>
      <c r="N54" s="10"/>
      <c r="O54" s="32">
        <v>6.66</v>
      </c>
      <c r="P54" s="13">
        <v>10.0</v>
      </c>
    </row>
    <row r="55" ht="15.0" customHeight="1">
      <c r="B55" s="29">
        <v>36.0</v>
      </c>
      <c r="C55" s="14"/>
      <c r="D55" s="25" t="s">
        <v>33</v>
      </c>
      <c r="E55" s="14"/>
      <c r="F55" s="30" t="s">
        <v>27</v>
      </c>
      <c r="G55" s="29">
        <v>4.100126782E9</v>
      </c>
      <c r="H55" s="14"/>
      <c r="I55" s="8" t="s">
        <v>34</v>
      </c>
      <c r="J55" s="14"/>
      <c r="K55" s="29" t="s">
        <v>31</v>
      </c>
      <c r="L55" s="14"/>
      <c r="M55" s="31" t="s">
        <v>30</v>
      </c>
      <c r="N55" s="10"/>
      <c r="O55" s="32">
        <v>6.66</v>
      </c>
      <c r="P55" s="13">
        <v>10.0</v>
      </c>
    </row>
    <row r="56" ht="15.0" customHeight="1">
      <c r="B56" s="29">
        <v>37.0</v>
      </c>
      <c r="C56" s="14"/>
      <c r="D56" s="25" t="s">
        <v>33</v>
      </c>
      <c r="E56" s="14"/>
      <c r="F56" s="30" t="s">
        <v>27</v>
      </c>
      <c r="G56" s="29">
        <v>4.100126782E9</v>
      </c>
      <c r="H56" s="14"/>
      <c r="I56" s="8" t="s">
        <v>34</v>
      </c>
      <c r="J56" s="14"/>
      <c r="K56" s="29" t="s">
        <v>31</v>
      </c>
      <c r="L56" s="14"/>
      <c r="M56" s="31" t="s">
        <v>30</v>
      </c>
      <c r="N56" s="10"/>
      <c r="O56" s="32">
        <v>6.66</v>
      </c>
      <c r="P56" s="13">
        <v>10.0</v>
      </c>
    </row>
    <row r="57" ht="15.0" customHeight="1">
      <c r="B57" s="29">
        <v>38.0</v>
      </c>
      <c r="C57" s="14"/>
      <c r="D57" s="25" t="s">
        <v>33</v>
      </c>
      <c r="E57" s="14"/>
      <c r="F57" s="30" t="s">
        <v>27</v>
      </c>
      <c r="G57" s="29">
        <v>4.100126782E9</v>
      </c>
      <c r="H57" s="14"/>
      <c r="I57" s="8" t="s">
        <v>34</v>
      </c>
      <c r="J57" s="14"/>
      <c r="K57" s="29" t="s">
        <v>31</v>
      </c>
      <c r="L57" s="14"/>
      <c r="M57" s="31" t="s">
        <v>30</v>
      </c>
      <c r="N57" s="10"/>
      <c r="O57" s="32">
        <v>6.66</v>
      </c>
      <c r="P57" s="13">
        <v>10.0</v>
      </c>
    </row>
    <row r="58" ht="15.0" customHeight="1">
      <c r="B58" s="29">
        <v>39.0</v>
      </c>
      <c r="C58" s="14"/>
      <c r="D58" s="25" t="s">
        <v>33</v>
      </c>
      <c r="E58" s="14"/>
      <c r="F58" s="30" t="s">
        <v>27</v>
      </c>
      <c r="G58" s="29">
        <v>4.100126782E9</v>
      </c>
      <c r="H58" s="14"/>
      <c r="I58" s="8" t="s">
        <v>34</v>
      </c>
      <c r="J58" s="14"/>
      <c r="K58" s="29" t="s">
        <v>31</v>
      </c>
      <c r="L58" s="14"/>
      <c r="M58" s="31" t="s">
        <v>30</v>
      </c>
      <c r="N58" s="10"/>
      <c r="O58" s="32">
        <v>6.66</v>
      </c>
      <c r="P58" s="13">
        <v>10.0</v>
      </c>
    </row>
    <row r="59" ht="15.0" customHeight="1">
      <c r="B59" s="29">
        <v>40.0</v>
      </c>
      <c r="C59" s="14"/>
      <c r="D59" s="25" t="s">
        <v>33</v>
      </c>
      <c r="E59" s="14"/>
      <c r="F59" s="30" t="s">
        <v>27</v>
      </c>
      <c r="G59" s="29">
        <v>4.100126782E9</v>
      </c>
      <c r="H59" s="14"/>
      <c r="I59" s="8" t="s">
        <v>34</v>
      </c>
      <c r="J59" s="14"/>
      <c r="K59" s="29" t="s">
        <v>31</v>
      </c>
      <c r="L59" s="14"/>
      <c r="M59" s="31" t="s">
        <v>30</v>
      </c>
      <c r="N59" s="10"/>
      <c r="O59" s="32">
        <v>6.66</v>
      </c>
      <c r="P59" s="13">
        <v>10.0</v>
      </c>
    </row>
    <row r="60" ht="15.0" customHeight="1">
      <c r="B60" s="29">
        <v>41.0</v>
      </c>
      <c r="C60" s="14"/>
      <c r="D60" s="25" t="s">
        <v>33</v>
      </c>
      <c r="E60" s="14"/>
      <c r="F60" s="30" t="s">
        <v>27</v>
      </c>
      <c r="G60" s="29">
        <v>4.100126782E9</v>
      </c>
      <c r="H60" s="14"/>
      <c r="I60" s="8" t="s">
        <v>34</v>
      </c>
      <c r="J60" s="14"/>
      <c r="K60" s="29" t="s">
        <v>31</v>
      </c>
      <c r="L60" s="14"/>
      <c r="M60" s="31" t="s">
        <v>30</v>
      </c>
      <c r="N60" s="10"/>
      <c r="O60" s="32">
        <v>6.66</v>
      </c>
      <c r="P60" s="13">
        <v>10.0</v>
      </c>
    </row>
    <row r="61" ht="15.0" customHeight="1">
      <c r="B61" s="29">
        <v>42.0</v>
      </c>
      <c r="C61" s="14"/>
      <c r="D61" s="25" t="s">
        <v>33</v>
      </c>
      <c r="E61" s="14"/>
      <c r="F61" s="30" t="s">
        <v>27</v>
      </c>
      <c r="G61" s="29">
        <v>4.100126782E9</v>
      </c>
      <c r="H61" s="14"/>
      <c r="I61" s="8" t="s">
        <v>34</v>
      </c>
      <c r="J61" s="14"/>
      <c r="K61" s="29" t="s">
        <v>31</v>
      </c>
      <c r="L61" s="14"/>
      <c r="M61" s="31" t="s">
        <v>30</v>
      </c>
      <c r="N61" s="10"/>
      <c r="O61" s="32">
        <v>6.66</v>
      </c>
      <c r="P61" s="13">
        <v>10.0</v>
      </c>
    </row>
    <row r="62" ht="15.0" customHeight="1">
      <c r="B62" s="34">
        <v>43.0</v>
      </c>
      <c r="C62" s="35"/>
      <c r="D62" s="25" t="s">
        <v>33</v>
      </c>
      <c r="E62" s="14"/>
      <c r="F62" s="30" t="s">
        <v>27</v>
      </c>
      <c r="G62" s="29">
        <v>4.100126782E9</v>
      </c>
      <c r="H62" s="14"/>
      <c r="I62" s="8" t="s">
        <v>34</v>
      </c>
      <c r="J62" s="14"/>
      <c r="K62" s="29" t="s">
        <v>31</v>
      </c>
      <c r="L62" s="14"/>
      <c r="M62" s="31" t="s">
        <v>30</v>
      </c>
      <c r="N62" s="10"/>
      <c r="O62" s="32">
        <v>6.66</v>
      </c>
      <c r="P62" s="13">
        <v>10.0</v>
      </c>
    </row>
    <row r="63" ht="15.0" customHeight="1">
      <c r="B63" s="34">
        <v>44.0</v>
      </c>
      <c r="C63" s="35"/>
      <c r="D63" s="25" t="s">
        <v>33</v>
      </c>
      <c r="E63" s="14"/>
      <c r="F63" s="30" t="s">
        <v>27</v>
      </c>
      <c r="G63" s="29">
        <v>4.100126782E9</v>
      </c>
      <c r="H63" s="14"/>
      <c r="I63" s="8" t="s">
        <v>34</v>
      </c>
      <c r="J63" s="14"/>
      <c r="K63" s="29" t="s">
        <v>31</v>
      </c>
      <c r="L63" s="14"/>
      <c r="M63" s="31" t="s">
        <v>30</v>
      </c>
      <c r="N63" s="10"/>
      <c r="O63" s="36">
        <v>5.34</v>
      </c>
      <c r="P63" s="13">
        <v>2.0</v>
      </c>
    </row>
    <row r="64" ht="15.0" customHeight="1">
      <c r="B64" s="37"/>
      <c r="C64" s="38"/>
      <c r="D64" s="25" t="s">
        <v>33</v>
      </c>
      <c r="E64" s="14"/>
      <c r="F64" s="30" t="s">
        <v>27</v>
      </c>
      <c r="G64" s="29">
        <v>4.100126784E9</v>
      </c>
      <c r="H64" s="14"/>
      <c r="I64" s="8" t="s">
        <v>34</v>
      </c>
      <c r="J64" s="14"/>
      <c r="K64" s="29" t="s">
        <v>36</v>
      </c>
      <c r="L64" s="14"/>
      <c r="M64" s="31" t="s">
        <v>30</v>
      </c>
      <c r="N64" s="10"/>
      <c r="O64" s="39"/>
      <c r="P64" s="13">
        <v>5.0</v>
      </c>
    </row>
    <row r="65" ht="15.0" customHeight="1">
      <c r="B65" s="29">
        <v>45.0</v>
      </c>
      <c r="C65" s="14"/>
      <c r="D65" s="25" t="s">
        <v>33</v>
      </c>
      <c r="E65" s="14"/>
      <c r="F65" s="30" t="s">
        <v>27</v>
      </c>
      <c r="G65" s="29">
        <v>4.100126784E9</v>
      </c>
      <c r="H65" s="14"/>
      <c r="I65" s="8" t="s">
        <v>34</v>
      </c>
      <c r="J65" s="14"/>
      <c r="K65" s="29" t="s">
        <v>36</v>
      </c>
      <c r="L65" s="14"/>
      <c r="M65" s="31" t="s">
        <v>30</v>
      </c>
      <c r="N65" s="10"/>
      <c r="O65" s="32">
        <v>6.66</v>
      </c>
      <c r="P65" s="13">
        <v>10.0</v>
      </c>
    </row>
    <row r="66" ht="15.0" customHeight="1">
      <c r="B66" s="29">
        <v>46.0</v>
      </c>
      <c r="C66" s="14"/>
      <c r="D66" s="25" t="s">
        <v>33</v>
      </c>
      <c r="E66" s="14"/>
      <c r="F66" s="30" t="s">
        <v>27</v>
      </c>
      <c r="G66" s="29">
        <v>4.100126784E9</v>
      </c>
      <c r="H66" s="14"/>
      <c r="I66" s="8" t="s">
        <v>34</v>
      </c>
      <c r="J66" s="14"/>
      <c r="K66" s="29" t="s">
        <v>36</v>
      </c>
      <c r="L66" s="14"/>
      <c r="M66" s="31" t="s">
        <v>30</v>
      </c>
      <c r="N66" s="10"/>
      <c r="O66" s="32">
        <v>6.66</v>
      </c>
      <c r="P66" s="13">
        <v>10.0</v>
      </c>
    </row>
    <row r="67" ht="15.0" customHeight="1">
      <c r="B67" s="29">
        <v>47.0</v>
      </c>
      <c r="C67" s="14"/>
      <c r="D67" s="25" t="s">
        <v>33</v>
      </c>
      <c r="E67" s="14"/>
      <c r="F67" s="30" t="s">
        <v>27</v>
      </c>
      <c r="G67" s="29">
        <v>4.100126783E9</v>
      </c>
      <c r="H67" s="14"/>
      <c r="I67" s="8" t="s">
        <v>34</v>
      </c>
      <c r="J67" s="14"/>
      <c r="K67" s="29" t="s">
        <v>29</v>
      </c>
      <c r="L67" s="14"/>
      <c r="M67" s="31" t="s">
        <v>30</v>
      </c>
      <c r="N67" s="10"/>
      <c r="O67" s="32">
        <v>6.66</v>
      </c>
      <c r="P67" s="13">
        <v>10.0</v>
      </c>
    </row>
    <row r="68" ht="15.0" customHeight="1">
      <c r="B68" s="29">
        <v>48.0</v>
      </c>
      <c r="C68" s="14"/>
      <c r="D68" s="25" t="s">
        <v>33</v>
      </c>
      <c r="E68" s="14"/>
      <c r="F68" s="30" t="s">
        <v>27</v>
      </c>
      <c r="G68" s="29">
        <v>4.100126783E9</v>
      </c>
      <c r="H68" s="14"/>
      <c r="I68" s="8" t="s">
        <v>34</v>
      </c>
      <c r="J68" s="14"/>
      <c r="K68" s="29" t="s">
        <v>29</v>
      </c>
      <c r="L68" s="14"/>
      <c r="M68" s="31" t="s">
        <v>30</v>
      </c>
      <c r="N68" s="10"/>
      <c r="O68" s="32">
        <v>6.66</v>
      </c>
      <c r="P68" s="13">
        <v>10.0</v>
      </c>
    </row>
    <row r="69" ht="12.75" customHeight="1">
      <c r="B69" s="23" t="s">
        <v>37</v>
      </c>
      <c r="C69" s="24"/>
      <c r="D69" s="25"/>
      <c r="E69" s="26"/>
      <c r="F69" s="27"/>
      <c r="G69" s="25"/>
      <c r="H69" s="12"/>
      <c r="I69" s="8"/>
      <c r="J69" s="12"/>
      <c r="K69" s="25"/>
      <c r="L69" s="26"/>
      <c r="M69" s="11"/>
      <c r="N69" s="11"/>
      <c r="O69" s="28">
        <f>SUM(O70:O92)+9.16</f>
        <v>43.96</v>
      </c>
      <c r="P69" s="13"/>
    </row>
    <row r="70" ht="15.0" customHeight="1">
      <c r="B70" s="29">
        <v>49.0</v>
      </c>
      <c r="C70" s="14"/>
      <c r="D70" s="25" t="s">
        <v>33</v>
      </c>
      <c r="E70" s="14"/>
      <c r="F70" s="30" t="s">
        <v>27</v>
      </c>
      <c r="G70" s="29">
        <v>4.100126783E9</v>
      </c>
      <c r="H70" s="14"/>
      <c r="I70" s="8" t="s">
        <v>34</v>
      </c>
      <c r="J70" s="14"/>
      <c r="K70" s="29" t="s">
        <v>29</v>
      </c>
      <c r="L70" s="14"/>
      <c r="M70" s="31" t="s">
        <v>30</v>
      </c>
      <c r="N70" s="10"/>
      <c r="O70" s="32">
        <v>4.7</v>
      </c>
      <c r="P70" s="13">
        <v>6.0</v>
      </c>
    </row>
    <row r="71" ht="15.0" customHeight="1">
      <c r="B71" s="34">
        <v>50.0</v>
      </c>
      <c r="C71" s="35"/>
      <c r="D71" s="25" t="s">
        <v>38</v>
      </c>
      <c r="E71" s="14"/>
      <c r="F71" s="30" t="s">
        <v>27</v>
      </c>
      <c r="G71" s="29">
        <v>4.100127138E9</v>
      </c>
      <c r="H71" s="14"/>
      <c r="I71" s="8" t="s">
        <v>39</v>
      </c>
      <c r="J71" s="14"/>
      <c r="K71" s="29" t="s">
        <v>31</v>
      </c>
      <c r="L71" s="14"/>
      <c r="M71" s="31" t="s">
        <v>40</v>
      </c>
      <c r="N71" s="10"/>
      <c r="O71" s="32">
        <v>7.0</v>
      </c>
      <c r="P71" s="13">
        <v>81.0</v>
      </c>
    </row>
    <row r="72" ht="15.0" customHeight="1">
      <c r="B72" s="34">
        <v>51.0</v>
      </c>
      <c r="C72" s="35"/>
      <c r="D72" s="25" t="s">
        <v>41</v>
      </c>
      <c r="E72" s="14"/>
      <c r="F72" s="30" t="s">
        <v>27</v>
      </c>
      <c r="G72" s="29">
        <v>4.100126774E9</v>
      </c>
      <c r="H72" s="14"/>
      <c r="I72" s="8" t="s">
        <v>42</v>
      </c>
      <c r="J72" s="14"/>
      <c r="K72" s="29" t="s">
        <v>31</v>
      </c>
      <c r="L72" s="14"/>
      <c r="M72" s="31" t="s">
        <v>30</v>
      </c>
      <c r="N72" s="10">
        <v>85.0</v>
      </c>
      <c r="O72" s="40">
        <v>15.26</v>
      </c>
      <c r="P72" s="13">
        <v>7.0</v>
      </c>
    </row>
    <row r="73" ht="15.0" customHeight="1">
      <c r="B73" s="41"/>
      <c r="C73" s="42"/>
      <c r="D73" s="25" t="s">
        <v>41</v>
      </c>
      <c r="E73" s="14"/>
      <c r="F73" s="30" t="s">
        <v>27</v>
      </c>
      <c r="G73" s="29">
        <v>4.100126774E9</v>
      </c>
      <c r="H73" s="14"/>
      <c r="I73" s="8" t="s">
        <v>42</v>
      </c>
      <c r="J73" s="14"/>
      <c r="K73" s="29" t="s">
        <v>31</v>
      </c>
      <c r="L73" s="14"/>
      <c r="M73" s="31" t="s">
        <v>30</v>
      </c>
      <c r="N73" s="10">
        <v>90.0</v>
      </c>
      <c r="O73" s="40"/>
      <c r="P73" s="13">
        <v>8.0</v>
      </c>
    </row>
    <row r="74" ht="15.0" customHeight="1">
      <c r="B74" s="41"/>
      <c r="C74" s="42"/>
      <c r="D74" s="25" t="s">
        <v>41</v>
      </c>
      <c r="E74" s="14"/>
      <c r="F74" s="30" t="s">
        <v>27</v>
      </c>
      <c r="G74" s="29">
        <v>4.100126774E9</v>
      </c>
      <c r="H74" s="14"/>
      <c r="I74" s="8" t="s">
        <v>42</v>
      </c>
      <c r="J74" s="14"/>
      <c r="K74" s="29" t="s">
        <v>31</v>
      </c>
      <c r="L74" s="14"/>
      <c r="M74" s="31" t="s">
        <v>30</v>
      </c>
      <c r="N74" s="10">
        <v>95.0</v>
      </c>
      <c r="O74" s="40"/>
      <c r="P74" s="13">
        <v>7.0</v>
      </c>
    </row>
    <row r="75" ht="15.0" customHeight="1">
      <c r="B75" s="41"/>
      <c r="C75" s="42"/>
      <c r="D75" s="25" t="s">
        <v>41</v>
      </c>
      <c r="E75" s="14"/>
      <c r="F75" s="30" t="s">
        <v>27</v>
      </c>
      <c r="G75" s="29">
        <v>4.100126774E9</v>
      </c>
      <c r="H75" s="14"/>
      <c r="I75" s="8" t="s">
        <v>42</v>
      </c>
      <c r="J75" s="14"/>
      <c r="K75" s="29" t="s">
        <v>31</v>
      </c>
      <c r="L75" s="14"/>
      <c r="M75" s="31" t="s">
        <v>30</v>
      </c>
      <c r="N75" s="10">
        <v>100.0</v>
      </c>
      <c r="O75" s="40"/>
      <c r="P75" s="13">
        <v>9.0</v>
      </c>
    </row>
    <row r="76" ht="15.0" customHeight="1">
      <c r="B76" s="41"/>
      <c r="C76" s="42"/>
      <c r="D76" s="25" t="s">
        <v>41</v>
      </c>
      <c r="E76" s="14"/>
      <c r="F76" s="30" t="s">
        <v>27</v>
      </c>
      <c r="G76" s="29">
        <v>4.100126775E9</v>
      </c>
      <c r="H76" s="14"/>
      <c r="I76" s="8" t="s">
        <v>42</v>
      </c>
      <c r="J76" s="14"/>
      <c r="K76" s="29" t="s">
        <v>29</v>
      </c>
      <c r="L76" s="14"/>
      <c r="M76" s="31" t="s">
        <v>30</v>
      </c>
      <c r="N76" s="10">
        <v>85.0</v>
      </c>
      <c r="O76" s="40"/>
      <c r="P76" s="13">
        <v>5.0</v>
      </c>
    </row>
    <row r="77" ht="15.0" customHeight="1">
      <c r="B77" s="41"/>
      <c r="C77" s="42"/>
      <c r="D77" s="25" t="s">
        <v>41</v>
      </c>
      <c r="E77" s="14"/>
      <c r="F77" s="30" t="s">
        <v>27</v>
      </c>
      <c r="G77" s="29">
        <v>4.100126775E9</v>
      </c>
      <c r="H77" s="14"/>
      <c r="I77" s="8" t="s">
        <v>42</v>
      </c>
      <c r="J77" s="14"/>
      <c r="K77" s="29" t="s">
        <v>29</v>
      </c>
      <c r="L77" s="14"/>
      <c r="M77" s="31" t="s">
        <v>30</v>
      </c>
      <c r="N77" s="10">
        <v>90.0</v>
      </c>
      <c r="O77" s="40"/>
      <c r="P77" s="13">
        <v>4.0</v>
      </c>
    </row>
    <row r="78" ht="15.0" customHeight="1">
      <c r="B78" s="41"/>
      <c r="C78" s="42"/>
      <c r="D78" s="25" t="s">
        <v>41</v>
      </c>
      <c r="E78" s="14"/>
      <c r="F78" s="30" t="s">
        <v>27</v>
      </c>
      <c r="G78" s="29">
        <v>4.100126775E9</v>
      </c>
      <c r="H78" s="14"/>
      <c r="I78" s="8" t="s">
        <v>42</v>
      </c>
      <c r="J78" s="14"/>
      <c r="K78" s="29" t="s">
        <v>29</v>
      </c>
      <c r="L78" s="14"/>
      <c r="M78" s="31" t="s">
        <v>30</v>
      </c>
      <c r="N78" s="10">
        <v>100.0</v>
      </c>
      <c r="O78" s="40"/>
      <c r="P78" s="13">
        <v>2.0</v>
      </c>
    </row>
    <row r="79" ht="15.0" customHeight="1">
      <c r="B79" s="41"/>
      <c r="C79" s="42"/>
      <c r="D79" s="25" t="s">
        <v>41</v>
      </c>
      <c r="E79" s="14"/>
      <c r="F79" s="30" t="s">
        <v>27</v>
      </c>
      <c r="G79" s="29">
        <v>4.100126774E9</v>
      </c>
      <c r="H79" s="14"/>
      <c r="I79" s="8" t="s">
        <v>42</v>
      </c>
      <c r="J79" s="14"/>
      <c r="K79" s="29" t="s">
        <v>31</v>
      </c>
      <c r="L79" s="14"/>
      <c r="M79" s="31" t="s">
        <v>43</v>
      </c>
      <c r="N79" s="10">
        <v>85.0</v>
      </c>
      <c r="O79" s="40"/>
      <c r="P79" s="13">
        <v>7.0</v>
      </c>
    </row>
    <row r="80" ht="15.0" customHeight="1">
      <c r="B80" s="41"/>
      <c r="C80" s="42"/>
      <c r="D80" s="25" t="s">
        <v>41</v>
      </c>
      <c r="E80" s="14"/>
      <c r="F80" s="30" t="s">
        <v>27</v>
      </c>
      <c r="G80" s="29">
        <v>4.100126774E9</v>
      </c>
      <c r="H80" s="14"/>
      <c r="I80" s="8" t="s">
        <v>42</v>
      </c>
      <c r="J80" s="14"/>
      <c r="K80" s="29" t="s">
        <v>31</v>
      </c>
      <c r="L80" s="14"/>
      <c r="M80" s="31" t="s">
        <v>43</v>
      </c>
      <c r="N80" s="10">
        <v>90.0</v>
      </c>
      <c r="O80" s="40"/>
      <c r="P80" s="13">
        <v>12.0</v>
      </c>
    </row>
    <row r="81" ht="15.0" customHeight="1">
      <c r="B81" s="41"/>
      <c r="C81" s="42"/>
      <c r="D81" s="25" t="s">
        <v>41</v>
      </c>
      <c r="E81" s="14"/>
      <c r="F81" s="30" t="s">
        <v>27</v>
      </c>
      <c r="G81" s="29">
        <v>4.100126774E9</v>
      </c>
      <c r="H81" s="14"/>
      <c r="I81" s="8" t="s">
        <v>42</v>
      </c>
      <c r="J81" s="14"/>
      <c r="K81" s="29" t="s">
        <v>31</v>
      </c>
      <c r="L81" s="14"/>
      <c r="M81" s="31" t="s">
        <v>43</v>
      </c>
      <c r="N81" s="10">
        <v>95.0</v>
      </c>
      <c r="O81" s="40"/>
      <c r="P81" s="13">
        <v>13.0</v>
      </c>
    </row>
    <row r="82" ht="15.0" customHeight="1">
      <c r="B82" s="41"/>
      <c r="C82" s="42"/>
      <c r="D82" s="25" t="s">
        <v>41</v>
      </c>
      <c r="E82" s="14"/>
      <c r="F82" s="30" t="s">
        <v>27</v>
      </c>
      <c r="G82" s="29">
        <v>4.100126774E9</v>
      </c>
      <c r="H82" s="14"/>
      <c r="I82" s="8" t="s">
        <v>42</v>
      </c>
      <c r="J82" s="14"/>
      <c r="K82" s="29" t="s">
        <v>31</v>
      </c>
      <c r="L82" s="14"/>
      <c r="M82" s="31" t="s">
        <v>43</v>
      </c>
      <c r="N82" s="10">
        <v>100.0</v>
      </c>
      <c r="O82" s="40"/>
      <c r="P82" s="13">
        <v>7.0</v>
      </c>
    </row>
    <row r="83" ht="15.0" customHeight="1">
      <c r="B83" s="41"/>
      <c r="C83" s="42"/>
      <c r="D83" s="25" t="s">
        <v>41</v>
      </c>
      <c r="E83" s="14"/>
      <c r="F83" s="30" t="s">
        <v>27</v>
      </c>
      <c r="G83" s="29">
        <v>4.100126775E9</v>
      </c>
      <c r="H83" s="14"/>
      <c r="I83" s="8" t="s">
        <v>42</v>
      </c>
      <c r="J83" s="14"/>
      <c r="K83" s="29" t="s">
        <v>29</v>
      </c>
      <c r="L83" s="14"/>
      <c r="M83" s="31" t="s">
        <v>43</v>
      </c>
      <c r="N83" s="10">
        <v>85.0</v>
      </c>
      <c r="O83" s="40"/>
      <c r="P83" s="13">
        <v>2.0</v>
      </c>
    </row>
    <row r="84" ht="15.0" customHeight="1">
      <c r="B84" s="41"/>
      <c r="C84" s="42"/>
      <c r="D84" s="25" t="s">
        <v>41</v>
      </c>
      <c r="E84" s="14"/>
      <c r="F84" s="30" t="s">
        <v>27</v>
      </c>
      <c r="G84" s="29">
        <v>4.100126775E9</v>
      </c>
      <c r="H84" s="14"/>
      <c r="I84" s="8" t="s">
        <v>42</v>
      </c>
      <c r="J84" s="14"/>
      <c r="K84" s="29" t="s">
        <v>29</v>
      </c>
      <c r="L84" s="14"/>
      <c r="M84" s="31" t="s">
        <v>43</v>
      </c>
      <c r="N84" s="10">
        <v>90.0</v>
      </c>
      <c r="O84" s="40"/>
      <c r="P84" s="13">
        <v>7.0</v>
      </c>
    </row>
    <row r="85" ht="15.0" customHeight="1">
      <c r="B85" s="41"/>
      <c r="C85" s="42"/>
      <c r="D85" s="25" t="s">
        <v>41</v>
      </c>
      <c r="E85" s="14"/>
      <c r="F85" s="30" t="s">
        <v>27</v>
      </c>
      <c r="G85" s="29">
        <v>4.100126775E9</v>
      </c>
      <c r="H85" s="14"/>
      <c r="I85" s="8" t="s">
        <v>42</v>
      </c>
      <c r="J85" s="14"/>
      <c r="K85" s="29" t="s">
        <v>29</v>
      </c>
      <c r="L85" s="14"/>
      <c r="M85" s="31" t="s">
        <v>43</v>
      </c>
      <c r="N85" s="10">
        <v>95.0</v>
      </c>
      <c r="O85" s="40"/>
      <c r="P85" s="13">
        <v>5.0</v>
      </c>
    </row>
    <row r="86" ht="15.0" customHeight="1">
      <c r="B86" s="37"/>
      <c r="C86" s="38"/>
      <c r="D86" s="25" t="s">
        <v>41</v>
      </c>
      <c r="E86" s="14"/>
      <c r="F86" s="30" t="s">
        <v>27</v>
      </c>
      <c r="G86" s="29">
        <v>4.100126775E9</v>
      </c>
      <c r="H86" s="14"/>
      <c r="I86" s="8" t="s">
        <v>42</v>
      </c>
      <c r="J86" s="14"/>
      <c r="K86" s="29" t="s">
        <v>29</v>
      </c>
      <c r="L86" s="14"/>
      <c r="M86" s="31" t="s">
        <v>43</v>
      </c>
      <c r="N86" s="10">
        <v>100.0</v>
      </c>
      <c r="O86" s="40"/>
      <c r="P86" s="13">
        <v>2.0</v>
      </c>
    </row>
    <row r="87" ht="15.0" customHeight="1">
      <c r="B87" s="34">
        <v>52.0</v>
      </c>
      <c r="C87" s="35"/>
      <c r="D87" s="25" t="s">
        <v>44</v>
      </c>
      <c r="E87" s="14"/>
      <c r="F87" s="30" t="s">
        <v>27</v>
      </c>
      <c r="G87" s="29">
        <v>4.100126772E9</v>
      </c>
      <c r="H87" s="14"/>
      <c r="I87" s="8" t="s">
        <v>45</v>
      </c>
      <c r="J87" s="14"/>
      <c r="K87" s="29" t="s">
        <v>31</v>
      </c>
      <c r="L87" s="14"/>
      <c r="M87" s="31" t="s">
        <v>30</v>
      </c>
      <c r="N87" s="10">
        <v>75.0</v>
      </c>
      <c r="O87" s="36">
        <v>7.84</v>
      </c>
      <c r="P87" s="13">
        <v>9.0</v>
      </c>
    </row>
    <row r="88" ht="15.0" customHeight="1">
      <c r="B88" s="41"/>
      <c r="C88" s="42"/>
      <c r="D88" s="25" t="s">
        <v>44</v>
      </c>
      <c r="E88" s="14"/>
      <c r="F88" s="30" t="s">
        <v>27</v>
      </c>
      <c r="G88" s="29">
        <v>4.100126772E9</v>
      </c>
      <c r="H88" s="14"/>
      <c r="I88" s="8" t="s">
        <v>45</v>
      </c>
      <c r="J88" s="14"/>
      <c r="K88" s="29" t="s">
        <v>31</v>
      </c>
      <c r="L88" s="14"/>
      <c r="M88" s="31" t="s">
        <v>30</v>
      </c>
      <c r="N88" s="10">
        <v>80.0</v>
      </c>
      <c r="O88" s="40"/>
      <c r="P88" s="13">
        <v>7.0</v>
      </c>
    </row>
    <row r="89" ht="15.0" customHeight="1">
      <c r="B89" s="41"/>
      <c r="C89" s="43"/>
      <c r="D89" s="25" t="s">
        <v>44</v>
      </c>
      <c r="E89" s="14"/>
      <c r="F89" s="30" t="s">
        <v>27</v>
      </c>
      <c r="G89" s="29">
        <v>4.100126772E9</v>
      </c>
      <c r="H89" s="14"/>
      <c r="I89" s="8" t="s">
        <v>45</v>
      </c>
      <c r="J89" s="14"/>
      <c r="K89" s="29" t="s">
        <v>31</v>
      </c>
      <c r="L89" s="14"/>
      <c r="M89" s="31" t="s">
        <v>30</v>
      </c>
      <c r="N89" s="10">
        <v>85.0</v>
      </c>
      <c r="O89" s="40"/>
      <c r="P89" s="13">
        <v>8.0</v>
      </c>
    </row>
    <row r="90" ht="15.0" customHeight="1">
      <c r="B90" s="41"/>
      <c r="C90" s="43"/>
      <c r="D90" s="25" t="s">
        <v>44</v>
      </c>
      <c r="E90" s="14"/>
      <c r="F90" s="30" t="s">
        <v>27</v>
      </c>
      <c r="G90" s="29">
        <v>4.100126772E9</v>
      </c>
      <c r="H90" s="14"/>
      <c r="I90" s="8" t="s">
        <v>45</v>
      </c>
      <c r="J90" s="14"/>
      <c r="K90" s="29" t="s">
        <v>31</v>
      </c>
      <c r="L90" s="14"/>
      <c r="M90" s="31" t="s">
        <v>30</v>
      </c>
      <c r="N90" s="10">
        <v>90.0</v>
      </c>
      <c r="O90" s="40"/>
      <c r="P90" s="13">
        <v>6.0</v>
      </c>
    </row>
    <row r="91" ht="15.0" customHeight="1">
      <c r="B91" s="41"/>
      <c r="C91" s="43"/>
      <c r="D91" s="25" t="s">
        <v>44</v>
      </c>
      <c r="E91" s="14"/>
      <c r="F91" s="30" t="s">
        <v>27</v>
      </c>
      <c r="G91" s="29">
        <v>4.100126773E9</v>
      </c>
      <c r="H91" s="14"/>
      <c r="I91" s="8" t="s">
        <v>45</v>
      </c>
      <c r="J91" s="14"/>
      <c r="K91" s="29" t="s">
        <v>29</v>
      </c>
      <c r="L91" s="14"/>
      <c r="M91" s="31" t="s">
        <v>30</v>
      </c>
      <c r="N91" s="10">
        <v>75.0</v>
      </c>
      <c r="O91" s="40"/>
      <c r="P91" s="13">
        <v>6.0</v>
      </c>
    </row>
    <row r="92" ht="15.0" customHeight="1">
      <c r="B92" s="41"/>
      <c r="C92" s="43"/>
      <c r="D92" s="25" t="s">
        <v>44</v>
      </c>
      <c r="E92" s="14"/>
      <c r="F92" s="30" t="s">
        <v>27</v>
      </c>
      <c r="G92" s="29">
        <v>4.100126773E9</v>
      </c>
      <c r="H92" s="14"/>
      <c r="I92" s="8" t="s">
        <v>45</v>
      </c>
      <c r="J92" s="14"/>
      <c r="K92" s="29" t="s">
        <v>29</v>
      </c>
      <c r="L92" s="14"/>
      <c r="M92" s="31" t="s">
        <v>30</v>
      </c>
      <c r="N92" s="10">
        <v>80.0</v>
      </c>
      <c r="O92" s="40"/>
      <c r="P92" s="13">
        <v>1.0</v>
      </c>
    </row>
    <row r="93" ht="15.0" customHeight="1">
      <c r="B93" s="41"/>
      <c r="C93" s="43"/>
      <c r="D93" s="25" t="s">
        <v>44</v>
      </c>
      <c r="E93" s="14"/>
      <c r="F93" s="30" t="s">
        <v>27</v>
      </c>
      <c r="G93" s="29">
        <v>4.100126773E9</v>
      </c>
      <c r="H93" s="14"/>
      <c r="I93" s="8" t="s">
        <v>45</v>
      </c>
      <c r="J93" s="14"/>
      <c r="K93" s="29" t="s">
        <v>29</v>
      </c>
      <c r="L93" s="14"/>
      <c r="M93" s="31" t="s">
        <v>30</v>
      </c>
      <c r="N93" s="10">
        <v>85.0</v>
      </c>
      <c r="O93" s="40"/>
      <c r="P93" s="13">
        <v>4.0</v>
      </c>
    </row>
    <row r="94" ht="15.0" customHeight="1">
      <c r="B94" s="41"/>
      <c r="C94" s="43"/>
      <c r="D94" s="25" t="s">
        <v>44</v>
      </c>
      <c r="E94" s="14"/>
      <c r="F94" s="30" t="s">
        <v>27</v>
      </c>
      <c r="G94" s="29">
        <v>4.100126773E9</v>
      </c>
      <c r="H94" s="14"/>
      <c r="I94" s="8" t="s">
        <v>45</v>
      </c>
      <c r="J94" s="14"/>
      <c r="K94" s="29" t="s">
        <v>29</v>
      </c>
      <c r="L94" s="14"/>
      <c r="M94" s="31" t="s">
        <v>30</v>
      </c>
      <c r="N94" s="10">
        <v>90.0</v>
      </c>
      <c r="O94" s="40"/>
      <c r="P94" s="13">
        <v>2.0</v>
      </c>
    </row>
    <row r="95" ht="15.0" customHeight="1">
      <c r="B95" s="41"/>
      <c r="C95" s="42"/>
      <c r="D95" s="25" t="s">
        <v>44</v>
      </c>
      <c r="E95" s="14"/>
      <c r="F95" s="30" t="s">
        <v>27</v>
      </c>
      <c r="G95" s="29">
        <v>4.100126772E9</v>
      </c>
      <c r="H95" s="14"/>
      <c r="I95" s="8" t="s">
        <v>45</v>
      </c>
      <c r="J95" s="14"/>
      <c r="K95" s="29" t="s">
        <v>31</v>
      </c>
      <c r="L95" s="14"/>
      <c r="M95" s="31" t="s">
        <v>46</v>
      </c>
      <c r="N95" s="10">
        <v>75.0</v>
      </c>
      <c r="O95" s="40"/>
      <c r="P95" s="13">
        <v>10.0</v>
      </c>
    </row>
    <row r="96" ht="15.0" customHeight="1">
      <c r="B96" s="41"/>
      <c r="C96" s="42"/>
      <c r="D96" s="25" t="s">
        <v>44</v>
      </c>
      <c r="E96" s="14"/>
      <c r="F96" s="30" t="s">
        <v>27</v>
      </c>
      <c r="G96" s="29">
        <v>4.100126772E9</v>
      </c>
      <c r="H96" s="14"/>
      <c r="I96" s="8" t="s">
        <v>45</v>
      </c>
      <c r="J96" s="14"/>
      <c r="K96" s="29" t="s">
        <v>31</v>
      </c>
      <c r="L96" s="14"/>
      <c r="M96" s="31" t="s">
        <v>46</v>
      </c>
      <c r="N96" s="10">
        <v>80.0</v>
      </c>
      <c r="O96" s="40"/>
      <c r="P96" s="13">
        <v>12.0</v>
      </c>
    </row>
    <row r="97" ht="15.0" customHeight="1">
      <c r="B97" s="41"/>
      <c r="C97" s="43"/>
      <c r="D97" s="25" t="s">
        <v>44</v>
      </c>
      <c r="E97" s="14"/>
      <c r="F97" s="30" t="s">
        <v>27</v>
      </c>
      <c r="G97" s="29">
        <v>4.100126772E9</v>
      </c>
      <c r="H97" s="14"/>
      <c r="I97" s="8" t="s">
        <v>45</v>
      </c>
      <c r="J97" s="14"/>
      <c r="K97" s="29" t="s">
        <v>31</v>
      </c>
      <c r="L97" s="14"/>
      <c r="M97" s="31" t="s">
        <v>46</v>
      </c>
      <c r="N97" s="10">
        <v>85.0</v>
      </c>
      <c r="O97" s="40"/>
      <c r="P97" s="13">
        <v>12.0</v>
      </c>
    </row>
    <row r="98" ht="15.0" customHeight="1">
      <c r="B98" s="37"/>
      <c r="C98" s="44"/>
      <c r="D98" s="25" t="s">
        <v>44</v>
      </c>
      <c r="E98" s="14"/>
      <c r="F98" s="30" t="s">
        <v>27</v>
      </c>
      <c r="G98" s="29">
        <v>4.100126772E9</v>
      </c>
      <c r="H98" s="14"/>
      <c r="I98" s="8" t="s">
        <v>45</v>
      </c>
      <c r="J98" s="14"/>
      <c r="K98" s="29" t="s">
        <v>31</v>
      </c>
      <c r="L98" s="14"/>
      <c r="M98" s="31" t="s">
        <v>46</v>
      </c>
      <c r="N98" s="10">
        <v>90.0</v>
      </c>
      <c r="O98" s="39"/>
      <c r="P98" s="13">
        <v>11.0</v>
      </c>
    </row>
    <row r="99" ht="15.0" customHeight="1">
      <c r="B99" s="29">
        <v>53.0</v>
      </c>
      <c r="C99" s="14"/>
      <c r="D99" s="25" t="s">
        <v>38</v>
      </c>
      <c r="E99" s="14"/>
      <c r="F99" s="30" t="s">
        <v>27</v>
      </c>
      <c r="G99" s="29">
        <v>4.100127137E9</v>
      </c>
      <c r="H99" s="14"/>
      <c r="I99" s="8" t="s">
        <v>47</v>
      </c>
      <c r="J99" s="14"/>
      <c r="K99" s="29" t="s">
        <v>31</v>
      </c>
      <c r="L99" s="14"/>
      <c r="M99" s="31" t="s">
        <v>30</v>
      </c>
      <c r="N99" s="10"/>
      <c r="O99" s="32">
        <v>8.84</v>
      </c>
      <c r="P99" s="13">
        <v>93.0</v>
      </c>
    </row>
    <row r="100" ht="15.0" customHeight="1">
      <c r="B100" s="37"/>
      <c r="C100" s="38"/>
      <c r="D100" s="29"/>
      <c r="E100" s="14"/>
      <c r="F100" s="30"/>
      <c r="G100" s="29"/>
      <c r="H100" s="14"/>
      <c r="I100" s="7"/>
      <c r="J100" s="14"/>
      <c r="K100" s="29"/>
      <c r="L100" s="14"/>
      <c r="M100" s="31"/>
      <c r="N100" s="10"/>
      <c r="O100" s="39"/>
      <c r="P100" s="13"/>
    </row>
    <row r="101" ht="12.75" customHeight="1">
      <c r="B101" s="45"/>
      <c r="C101" s="46"/>
      <c r="D101" s="47"/>
      <c r="E101" s="48"/>
      <c r="F101" s="48"/>
      <c r="G101" s="48"/>
      <c r="H101" s="48"/>
      <c r="I101" s="48"/>
      <c r="K101" s="45"/>
      <c r="L101" s="46"/>
      <c r="M101" s="1"/>
      <c r="N101" s="1"/>
      <c r="O101" s="49">
        <f>SUM(O18:O33)+SUM(O35:O50)+SUM(O52:O68)+SUM(O70:O99)</f>
        <v>378.64</v>
      </c>
    </row>
    <row r="102" ht="12.75" customHeight="1">
      <c r="B102" s="50" t="s">
        <v>48</v>
      </c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2"/>
      <c r="N102" s="53"/>
      <c r="O102" s="54"/>
      <c r="P102" s="55">
        <f>SUM(P18:P100)</f>
        <v>843</v>
      </c>
    </row>
    <row r="103" ht="12.75" customHeight="1">
      <c r="B103" s="45"/>
      <c r="C103" s="46"/>
      <c r="D103" s="45"/>
      <c r="E103" s="46"/>
      <c r="F103" s="46"/>
      <c r="G103" s="45"/>
      <c r="I103" s="56"/>
      <c r="K103" s="45"/>
      <c r="L103" s="46"/>
      <c r="M103" s="1"/>
      <c r="N103" s="1"/>
      <c r="O103" s="57"/>
    </row>
    <row r="104" ht="15.0" customHeight="1">
      <c r="B104" s="1"/>
      <c r="C104" s="1"/>
      <c r="D104" s="1" t="s">
        <v>49</v>
      </c>
      <c r="E104" s="1" t="s">
        <v>50</v>
      </c>
      <c r="I104" s="1"/>
      <c r="J104" s="1"/>
      <c r="K104" s="1"/>
      <c r="L104" s="1"/>
      <c r="M104" s="1"/>
      <c r="N104" s="1"/>
      <c r="O104" s="1"/>
    </row>
    <row r="105" ht="12.75" customHeight="1">
      <c r="B105" s="1"/>
      <c r="C105" s="1"/>
      <c r="D105" s="1" t="s">
        <v>51</v>
      </c>
      <c r="E105" s="56"/>
      <c r="F105" s="56"/>
      <c r="G105" s="1"/>
      <c r="H105" s="1"/>
      <c r="I105" s="1"/>
      <c r="J105" s="1"/>
      <c r="K105" s="1"/>
      <c r="L105" s="1"/>
      <c r="M105" s="1"/>
      <c r="N105" s="1"/>
      <c r="O105" s="1"/>
    </row>
    <row r="106" ht="12.75" customHeight="1">
      <c r="B106" s="1"/>
      <c r="C106" s="1"/>
      <c r="D106" s="1" t="s">
        <v>52</v>
      </c>
      <c r="E106" s="56"/>
      <c r="F106" s="56"/>
      <c r="G106" s="1"/>
      <c r="H106" s="1"/>
      <c r="I106" s="1"/>
      <c r="J106" s="1"/>
      <c r="K106" s="1"/>
      <c r="L106" s="1"/>
      <c r="M106" s="1"/>
      <c r="N106" s="1"/>
      <c r="O106" s="1"/>
    </row>
    <row r="107" ht="12.75" customHeight="1">
      <c r="B107" s="1"/>
      <c r="C107" s="1"/>
      <c r="D107" s="1" t="s">
        <v>53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ht="12.75" customHeight="1">
      <c r="B108" s="1"/>
      <c r="C108" s="1"/>
      <c r="D108" s="1" t="s">
        <v>54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ht="12.75" customHeight="1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ht="12.75" customHeight="1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ht="12.75" customHeight="1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ht="12.75" customHeight="1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ht="12.75" customHeight="1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ht="12.75" customHeight="1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ht="12.75" customHeight="1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ht="12.75" customHeight="1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ht="12.75" customHeight="1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ht="12.75" customHeight="1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ht="12.75" customHeight="1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ht="12.75" customHeight="1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ht="12.75" customHeight="1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ht="12.75" customHeight="1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ht="12.75" customHeight="1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$B$16:$P$102"/>
  <mergeCells count="404">
    <mergeCell ref="K53:L53"/>
    <mergeCell ref="K54:L54"/>
    <mergeCell ref="K45:L45"/>
    <mergeCell ref="K46:L46"/>
    <mergeCell ref="K47:L47"/>
    <mergeCell ref="K48:L48"/>
    <mergeCell ref="K49:L49"/>
    <mergeCell ref="K50:L50"/>
    <mergeCell ref="K52:L52"/>
    <mergeCell ref="G25:H25"/>
    <mergeCell ref="G26:H26"/>
    <mergeCell ref="G27:H27"/>
    <mergeCell ref="G28:H28"/>
    <mergeCell ref="G29:H29"/>
    <mergeCell ref="G30:H30"/>
    <mergeCell ref="I31:J31"/>
    <mergeCell ref="I32:J32"/>
    <mergeCell ref="I33:J33"/>
    <mergeCell ref="I35:J35"/>
    <mergeCell ref="K35:L35"/>
    <mergeCell ref="I36:J36"/>
    <mergeCell ref="K36:L36"/>
    <mergeCell ref="K37:L37"/>
    <mergeCell ref="G31:H31"/>
    <mergeCell ref="G32:H32"/>
    <mergeCell ref="G33:H33"/>
    <mergeCell ref="G35:H35"/>
    <mergeCell ref="G36:H36"/>
    <mergeCell ref="G37:H37"/>
    <mergeCell ref="G38:H38"/>
    <mergeCell ref="I37:J37"/>
    <mergeCell ref="I38:J38"/>
    <mergeCell ref="I39:J39"/>
    <mergeCell ref="I40:J40"/>
    <mergeCell ref="I41:J41"/>
    <mergeCell ref="I42:J42"/>
    <mergeCell ref="I43:J43"/>
    <mergeCell ref="K38:L38"/>
    <mergeCell ref="K39:L39"/>
    <mergeCell ref="K40:L40"/>
    <mergeCell ref="K41:L41"/>
    <mergeCell ref="K42:L42"/>
    <mergeCell ref="K43:L43"/>
    <mergeCell ref="K44:L44"/>
    <mergeCell ref="I44:J44"/>
    <mergeCell ref="I45:J45"/>
    <mergeCell ref="I46:J46"/>
    <mergeCell ref="I47:J47"/>
    <mergeCell ref="I48:J48"/>
    <mergeCell ref="I49:J49"/>
    <mergeCell ref="I50:J50"/>
    <mergeCell ref="I52:J52"/>
    <mergeCell ref="I53:J53"/>
    <mergeCell ref="I54:J54"/>
    <mergeCell ref="I55:J55"/>
    <mergeCell ref="K55:L55"/>
    <mergeCell ref="I56:J56"/>
    <mergeCell ref="K56:L56"/>
    <mergeCell ref="K83:L83"/>
    <mergeCell ref="K84:L84"/>
    <mergeCell ref="K76:L76"/>
    <mergeCell ref="K77:L77"/>
    <mergeCell ref="K78:L78"/>
    <mergeCell ref="K79:L79"/>
    <mergeCell ref="K80:L80"/>
    <mergeCell ref="K81:L81"/>
    <mergeCell ref="K82:L82"/>
    <mergeCell ref="I57:J57"/>
    <mergeCell ref="K57:L57"/>
    <mergeCell ref="I58:J58"/>
    <mergeCell ref="K58:L58"/>
    <mergeCell ref="I59:J59"/>
    <mergeCell ref="K59:L59"/>
    <mergeCell ref="K60:L60"/>
    <mergeCell ref="I60:J60"/>
    <mergeCell ref="I61:J61"/>
    <mergeCell ref="I62:J62"/>
    <mergeCell ref="I63:J63"/>
    <mergeCell ref="I64:J64"/>
    <mergeCell ref="I65:J65"/>
    <mergeCell ref="I66:J66"/>
    <mergeCell ref="K61:L61"/>
    <mergeCell ref="K62:L62"/>
    <mergeCell ref="K63:L63"/>
    <mergeCell ref="K64:L64"/>
    <mergeCell ref="K65:L65"/>
    <mergeCell ref="K66:L66"/>
    <mergeCell ref="K67:L67"/>
    <mergeCell ref="I67:J67"/>
    <mergeCell ref="I68:J68"/>
    <mergeCell ref="I70:J70"/>
    <mergeCell ref="I71:J71"/>
    <mergeCell ref="I72:J72"/>
    <mergeCell ref="I73:J73"/>
    <mergeCell ref="I74:J74"/>
    <mergeCell ref="K68:L68"/>
    <mergeCell ref="K70:L70"/>
    <mergeCell ref="K71:L71"/>
    <mergeCell ref="K72:L72"/>
    <mergeCell ref="K73:L73"/>
    <mergeCell ref="K74:L74"/>
    <mergeCell ref="K75:L75"/>
    <mergeCell ref="I82:J82"/>
    <mergeCell ref="I83:J83"/>
    <mergeCell ref="I84:J84"/>
    <mergeCell ref="I75:J75"/>
    <mergeCell ref="I76:J76"/>
    <mergeCell ref="I77:J77"/>
    <mergeCell ref="I78:J78"/>
    <mergeCell ref="I79:J79"/>
    <mergeCell ref="I80:J80"/>
    <mergeCell ref="I81:J81"/>
    <mergeCell ref="B87:C87"/>
    <mergeCell ref="B88:C88"/>
    <mergeCell ref="B82:C82"/>
    <mergeCell ref="B83:C83"/>
    <mergeCell ref="B84:C84"/>
    <mergeCell ref="B85:C85"/>
    <mergeCell ref="B86:C86"/>
    <mergeCell ref="D86:E86"/>
    <mergeCell ref="D87:E87"/>
    <mergeCell ref="B99:C99"/>
    <mergeCell ref="B100:C100"/>
    <mergeCell ref="B95:C95"/>
    <mergeCell ref="D95:E95"/>
    <mergeCell ref="B96:C96"/>
    <mergeCell ref="D96:E96"/>
    <mergeCell ref="D97:E97"/>
    <mergeCell ref="D98:E98"/>
    <mergeCell ref="D99:E99"/>
    <mergeCell ref="D100:E100"/>
    <mergeCell ref="B58:C58"/>
    <mergeCell ref="D58:E58"/>
    <mergeCell ref="B59:C59"/>
    <mergeCell ref="D59:E59"/>
    <mergeCell ref="B60:C60"/>
    <mergeCell ref="D60:E60"/>
    <mergeCell ref="D61:E61"/>
    <mergeCell ref="B61:C61"/>
    <mergeCell ref="B62:C62"/>
    <mergeCell ref="B63:C63"/>
    <mergeCell ref="B64:C64"/>
    <mergeCell ref="B65:C65"/>
    <mergeCell ref="B66:C66"/>
    <mergeCell ref="B67:C67"/>
    <mergeCell ref="D62:E62"/>
    <mergeCell ref="D63:E63"/>
    <mergeCell ref="D64:E64"/>
    <mergeCell ref="D65:E65"/>
    <mergeCell ref="D66:E66"/>
    <mergeCell ref="D67:E67"/>
    <mergeCell ref="D68:E68"/>
    <mergeCell ref="B68:C68"/>
    <mergeCell ref="B69:C69"/>
    <mergeCell ref="B70:C70"/>
    <mergeCell ref="B71:C71"/>
    <mergeCell ref="B72:C72"/>
    <mergeCell ref="B73:C73"/>
    <mergeCell ref="B74:C74"/>
    <mergeCell ref="D70:E70"/>
    <mergeCell ref="D71:E71"/>
    <mergeCell ref="D72:E72"/>
    <mergeCell ref="D73:E73"/>
    <mergeCell ref="D74:E74"/>
    <mergeCell ref="D75:E75"/>
    <mergeCell ref="D76:E76"/>
    <mergeCell ref="B75:C75"/>
    <mergeCell ref="B76:C76"/>
    <mergeCell ref="B77:C77"/>
    <mergeCell ref="B78:C78"/>
    <mergeCell ref="B79:C79"/>
    <mergeCell ref="B80:C80"/>
    <mergeCell ref="B81:C81"/>
    <mergeCell ref="D88:E88"/>
    <mergeCell ref="D89:E89"/>
    <mergeCell ref="D90:E90"/>
    <mergeCell ref="D91:E91"/>
    <mergeCell ref="D92:E92"/>
    <mergeCell ref="D93:E93"/>
    <mergeCell ref="D94:E94"/>
    <mergeCell ref="I29:J29"/>
    <mergeCell ref="I30:J30"/>
    <mergeCell ref="I22:J22"/>
    <mergeCell ref="I23:J23"/>
    <mergeCell ref="I24:J24"/>
    <mergeCell ref="I25:J25"/>
    <mergeCell ref="I26:J26"/>
    <mergeCell ref="I27:J27"/>
    <mergeCell ref="I28:J28"/>
    <mergeCell ref="F12:G12"/>
    <mergeCell ref="N14:O14"/>
    <mergeCell ref="B16:C16"/>
    <mergeCell ref="D16:E16"/>
    <mergeCell ref="G16:H16"/>
    <mergeCell ref="I16:J16"/>
    <mergeCell ref="K16:L16"/>
    <mergeCell ref="B17:C17"/>
    <mergeCell ref="B18:C18"/>
    <mergeCell ref="D18:E18"/>
    <mergeCell ref="I18:J18"/>
    <mergeCell ref="K18:L18"/>
    <mergeCell ref="B19:C19"/>
    <mergeCell ref="D19:E19"/>
    <mergeCell ref="I19:J19"/>
    <mergeCell ref="K19:L19"/>
    <mergeCell ref="I20:J20"/>
    <mergeCell ref="K20:L20"/>
    <mergeCell ref="I21:J21"/>
    <mergeCell ref="K21:L21"/>
    <mergeCell ref="K22:L22"/>
    <mergeCell ref="D24:E24"/>
    <mergeCell ref="D25:E25"/>
    <mergeCell ref="G18:H18"/>
    <mergeCell ref="G19:H19"/>
    <mergeCell ref="G20:H20"/>
    <mergeCell ref="G21:H21"/>
    <mergeCell ref="G22:H22"/>
    <mergeCell ref="G23:H23"/>
    <mergeCell ref="G24:H24"/>
    <mergeCell ref="K30:L30"/>
    <mergeCell ref="K31:L31"/>
    <mergeCell ref="K32:L32"/>
    <mergeCell ref="K33:L33"/>
    <mergeCell ref="K23:L23"/>
    <mergeCell ref="K24:L24"/>
    <mergeCell ref="K25:L25"/>
    <mergeCell ref="K26:L26"/>
    <mergeCell ref="K27:L27"/>
    <mergeCell ref="K28:L28"/>
    <mergeCell ref="K29:L29"/>
    <mergeCell ref="D47:E47"/>
    <mergeCell ref="D48:E48"/>
    <mergeCell ref="D40:E40"/>
    <mergeCell ref="D41:E41"/>
    <mergeCell ref="D42:E42"/>
    <mergeCell ref="D43:E43"/>
    <mergeCell ref="D44:E44"/>
    <mergeCell ref="D45:E45"/>
    <mergeCell ref="D46:E46"/>
    <mergeCell ref="B45:C45"/>
    <mergeCell ref="B46:C46"/>
    <mergeCell ref="B47:C47"/>
    <mergeCell ref="B48:C48"/>
    <mergeCell ref="B49:C49"/>
    <mergeCell ref="D49:E49"/>
    <mergeCell ref="D50:E50"/>
    <mergeCell ref="B50:C50"/>
    <mergeCell ref="B51:C51"/>
    <mergeCell ref="B52:C52"/>
    <mergeCell ref="D52:E52"/>
    <mergeCell ref="B53:C53"/>
    <mergeCell ref="D53:E53"/>
    <mergeCell ref="D54:E54"/>
    <mergeCell ref="B20:C20"/>
    <mergeCell ref="D20:E20"/>
    <mergeCell ref="B21:C21"/>
    <mergeCell ref="D21:E21"/>
    <mergeCell ref="B22:C22"/>
    <mergeCell ref="D22:E22"/>
    <mergeCell ref="D23:E23"/>
    <mergeCell ref="B23:C23"/>
    <mergeCell ref="B24:C24"/>
    <mergeCell ref="B25:C25"/>
    <mergeCell ref="B26:C26"/>
    <mergeCell ref="D26:E26"/>
    <mergeCell ref="B27:C27"/>
    <mergeCell ref="D27:E27"/>
    <mergeCell ref="B28:C28"/>
    <mergeCell ref="D28:E28"/>
    <mergeCell ref="B29:C29"/>
    <mergeCell ref="D29:E29"/>
    <mergeCell ref="B30:C30"/>
    <mergeCell ref="D30:E30"/>
    <mergeCell ref="D31:E31"/>
    <mergeCell ref="B31:C31"/>
    <mergeCell ref="B32:C32"/>
    <mergeCell ref="B33:C33"/>
    <mergeCell ref="B34:C34"/>
    <mergeCell ref="B35:C35"/>
    <mergeCell ref="B36:C36"/>
    <mergeCell ref="B37:C37"/>
    <mergeCell ref="D32:E32"/>
    <mergeCell ref="D33:E33"/>
    <mergeCell ref="D35:E35"/>
    <mergeCell ref="D36:E36"/>
    <mergeCell ref="D37:E37"/>
    <mergeCell ref="D38:E38"/>
    <mergeCell ref="D39:E39"/>
    <mergeCell ref="B38:C38"/>
    <mergeCell ref="B39:C39"/>
    <mergeCell ref="B40:C40"/>
    <mergeCell ref="B41:C41"/>
    <mergeCell ref="B42:C42"/>
    <mergeCell ref="B43:C43"/>
    <mergeCell ref="B44:C44"/>
    <mergeCell ref="B54:C54"/>
    <mergeCell ref="B55:C55"/>
    <mergeCell ref="D55:E55"/>
    <mergeCell ref="B56:C56"/>
    <mergeCell ref="D56:E56"/>
    <mergeCell ref="B57:C57"/>
    <mergeCell ref="D57:E57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I85:J85"/>
    <mergeCell ref="K85:L85"/>
    <mergeCell ref="I86:J86"/>
    <mergeCell ref="K86:L86"/>
    <mergeCell ref="K87:L87"/>
    <mergeCell ref="I87:J87"/>
    <mergeCell ref="I88:J88"/>
    <mergeCell ref="K88:L88"/>
    <mergeCell ref="I89:J89"/>
    <mergeCell ref="K89:L89"/>
    <mergeCell ref="I90:J90"/>
    <mergeCell ref="K90:L90"/>
    <mergeCell ref="I94:J94"/>
    <mergeCell ref="I95:J95"/>
    <mergeCell ref="I96:J96"/>
    <mergeCell ref="I97:J97"/>
    <mergeCell ref="I98:J98"/>
    <mergeCell ref="I99:J99"/>
    <mergeCell ref="I100:J100"/>
    <mergeCell ref="K95:L95"/>
    <mergeCell ref="K96:L96"/>
    <mergeCell ref="K97:L97"/>
    <mergeCell ref="K98:L98"/>
    <mergeCell ref="K99:L99"/>
    <mergeCell ref="K100:L100"/>
    <mergeCell ref="B102:M102"/>
    <mergeCell ref="I91:J91"/>
    <mergeCell ref="K91:L91"/>
    <mergeCell ref="I92:J92"/>
    <mergeCell ref="K92:L92"/>
    <mergeCell ref="I93:J93"/>
    <mergeCell ref="K93:L93"/>
    <mergeCell ref="K94:L94"/>
    <mergeCell ref="G97:H97"/>
    <mergeCell ref="G98:H98"/>
    <mergeCell ref="G99:H99"/>
    <mergeCell ref="G100:H100"/>
    <mergeCell ref="G90:H90"/>
    <mergeCell ref="G91:H91"/>
    <mergeCell ref="G92:H92"/>
    <mergeCell ref="G93:H93"/>
    <mergeCell ref="G94:H94"/>
    <mergeCell ref="G95:H95"/>
    <mergeCell ref="G96:H96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70:H70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0:H80"/>
    <mergeCell ref="G81:H81"/>
    <mergeCell ref="G82:H82"/>
    <mergeCell ref="G83:H83"/>
    <mergeCell ref="G84:H84"/>
    <mergeCell ref="G85:H85"/>
    <mergeCell ref="G86:H86"/>
    <mergeCell ref="G87:H87"/>
    <mergeCell ref="G88:H88"/>
    <mergeCell ref="G89:H89"/>
  </mergeCells>
  <hyperlinks>
    <hyperlink r:id="rId1" ref="N4"/>
  </hyperlinks>
  <printOptions/>
  <pageMargins bottom="0.2755905511811024" footer="0.0" header="0.0" left="0.07874015748031496" right="0.07874015748031496" top="0.3937007874015748"/>
  <pageSetup paperSize="9" scale="70" orientation="portrait"/>
  <drawing r:id="rId2"/>
</worksheet>
</file>