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ocumentos\PACKING\AMI\"/>
    </mc:Choice>
  </mc:AlternateContent>
  <xr:revisionPtr revIDLastSave="0" documentId="13_ncr:1_{A3EA90FE-F7E0-4C2A-909A-9CEAA99252AD}" xr6:coauthVersionLast="47" xr6:coauthVersionMax="47" xr10:uidLastSave="{00000000-0000-0000-0000-000000000000}"/>
  <bookViews>
    <workbookView xWindow="28680" yWindow="-120" windowWidth="29040" windowHeight="15720" firstSheet="1" activeTab="1" xr2:uid="{45DCC601-7994-45BE-A50B-23B00720DAD6}"/>
  </bookViews>
  <sheets>
    <sheet name="Tableau1" sheetId="2" state="hidden" r:id="rId1"/>
    <sheet name="STANDARD PKL H26" sheetId="1" r:id="rId2"/>
    <sheet name="Feuil1" sheetId="3" state="hidden" r:id="rId3"/>
  </sheets>
  <definedNames>
    <definedName name="_xlnm.Print_Area" localSheetId="1">'STANDARD PKL H26'!$A$1:$V$42</definedName>
    <definedName name="DonnéesExternes_1" localSheetId="0" hidden="1">Tableau1!$A$1:$A$4</definedName>
    <definedName name="_xlnm.Print_Titles" localSheetId="1">'STANDARD PKL H26'!$1:$18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2" i="1" l="1"/>
  <c r="S31" i="1"/>
  <c r="S30" i="1"/>
  <c r="S29" i="1"/>
  <c r="S28" i="1"/>
  <c r="S27" i="1"/>
  <c r="S26" i="1"/>
  <c r="S25" i="1"/>
  <c r="S24" i="1"/>
  <c r="S23" i="1"/>
  <c r="S22" i="1"/>
  <c r="S21" i="1"/>
  <c r="S20" i="1"/>
  <c r="H34" i="1"/>
  <c r="I34" i="1"/>
  <c r="J34" i="1"/>
  <c r="K34" i="1"/>
  <c r="L34" i="1"/>
  <c r="M34" i="1"/>
  <c r="N34" i="1"/>
  <c r="O34" i="1"/>
  <c r="P34" i="1"/>
  <c r="Q34" i="1"/>
  <c r="R34" i="1"/>
  <c r="G34" i="1"/>
  <c r="S19" i="1"/>
  <c r="U34" i="1"/>
  <c r="V40" i="1" s="1"/>
  <c r="V34" i="1"/>
  <c r="V39" i="1" s="1"/>
  <c r="S34" i="1" l="1"/>
  <c r="V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B85B6-1226-487C-AA57-7CF9D0EA379C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<sst xmlns="http://schemas.openxmlformats.org/spreadsheetml/2006/main" count="188" uniqueCount="100">
  <si>
    <t>ORDER FORM NUMBER</t>
  </si>
  <si>
    <t>INVOICE NUMBER</t>
  </si>
  <si>
    <t>DATE OF INVOICE</t>
  </si>
  <si>
    <t>REFERENCE</t>
  </si>
  <si>
    <t>XXS</t>
  </si>
  <si>
    <t>XS</t>
  </si>
  <si>
    <t>S</t>
  </si>
  <si>
    <t>M</t>
  </si>
  <si>
    <t>L</t>
  </si>
  <si>
    <t>XL</t>
  </si>
  <si>
    <t>XXL</t>
  </si>
  <si>
    <t>XXXL</t>
  </si>
  <si>
    <t>SIZE OF BOX</t>
  </si>
  <si>
    <t>39</t>
  </si>
  <si>
    <t>40</t>
  </si>
  <si>
    <t>41</t>
  </si>
  <si>
    <t>42</t>
  </si>
  <si>
    <t>QNTY TOTAL</t>
  </si>
  <si>
    <t>NET.W/KGS</t>
  </si>
  <si>
    <t>GROSS.W/KGS</t>
  </si>
  <si>
    <t>CITY</t>
  </si>
  <si>
    <t>COUNTRY</t>
  </si>
  <si>
    <t>SUPPLIER NAME</t>
  </si>
  <si>
    <t>color CODE</t>
  </si>
  <si>
    <t>SUPPLIER CODE</t>
  </si>
  <si>
    <t>VSH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</si>
  <si>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</si>
  <si>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</si>
  <si>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</si>
  <si>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</si>
  <si>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</si>
  <si>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</si>
  <si>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</si>
  <si>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</si>
  <si>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</si>
  <si>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SML</t>
  </si>
  <si>
    <t>XXXXL</t>
  </si>
  <si>
    <t>U</t>
  </si>
  <si>
    <t>SOU</t>
  </si>
  <si>
    <t>35</t>
  </si>
  <si>
    <t>36</t>
  </si>
  <si>
    <t>37</t>
  </si>
  <si>
    <t>38</t>
  </si>
  <si>
    <t>43</t>
  </si>
  <si>
    <t>45</t>
  </si>
  <si>
    <t>SEASON</t>
  </si>
  <si>
    <t>CHINA</t>
  </si>
  <si>
    <t>JAPAN</t>
  </si>
  <si>
    <t>SIZE GRID</t>
  </si>
  <si>
    <t>Colonne1</t>
  </si>
  <si>
    <t>do not change lines ORDER</t>
  </si>
  <si>
    <t>DATE OF SHIPMENT</t>
  </si>
  <si>
    <t>Licence number</t>
  </si>
  <si>
    <r>
      <t xml:space="preserve">PACKING LIST </t>
    </r>
    <r>
      <rPr>
        <b/>
        <i/>
        <sz val="18"/>
        <color theme="5" tint="0.59999389629810485"/>
        <rFont val="Calibri"/>
        <family val="2"/>
        <scheme val="minor"/>
      </rPr>
      <t>(1 packing list per order number)</t>
    </r>
  </si>
  <si>
    <t>France</t>
  </si>
  <si>
    <r>
      <t>DESTINATION</t>
    </r>
    <r>
      <rPr>
        <b/>
        <sz val="11"/>
        <color rgb="FFFF0000"/>
        <rFont val="Calibri"/>
        <family val="2"/>
        <scheme val="minor"/>
      </rPr>
      <t>*</t>
    </r>
  </si>
  <si>
    <t>* only 1 destination per PKL</t>
  </si>
  <si>
    <t>CERTIFICATION #1</t>
  </si>
  <si>
    <t>CERTIFICATION #2</t>
  </si>
  <si>
    <t>TOTAL QTY</t>
  </si>
  <si>
    <t>VOLUME</t>
  </si>
  <si>
    <t>SUM UP</t>
  </si>
  <si>
    <t>OF BOXES</t>
  </si>
  <si>
    <t xml:space="preserve">TOTAL GROSS </t>
  </si>
  <si>
    <t>WEIGHT</t>
  </si>
  <si>
    <t xml:space="preserve">TOTAL NET </t>
  </si>
  <si>
    <t xml:space="preserve">TOTAL NUMBER </t>
  </si>
  <si>
    <t>choose grid size and right it column "F"</t>
  </si>
  <si>
    <r>
      <t xml:space="preserve">CTN NO. 
</t>
    </r>
    <r>
      <rPr>
        <b/>
        <i/>
        <sz val="9"/>
        <color rgb="FFFFC000"/>
        <rFont val="Calibri"/>
        <family val="2"/>
        <scheme val="minor"/>
      </rPr>
      <t>1 line per box</t>
    </r>
  </si>
  <si>
    <t>OTHER</t>
  </si>
  <si>
    <t>35-38</t>
  </si>
  <si>
    <t>39-42</t>
  </si>
  <si>
    <t>43-46</t>
  </si>
  <si>
    <t>DESTINATION</t>
  </si>
  <si>
    <t>China</t>
  </si>
  <si>
    <t>Hong Kong</t>
  </si>
  <si>
    <t>Japan</t>
  </si>
  <si>
    <t>H26</t>
  </si>
  <si>
    <t>PUNTOTRES</t>
  </si>
  <si>
    <t>BADALONA</t>
  </si>
  <si>
    <t>SPAIN</t>
  </si>
  <si>
    <t>PUN</t>
  </si>
  <si>
    <t>60x40x40</t>
  </si>
  <si>
    <t>ULL163.AL0052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</si>
  <si>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</si>
  <si>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</si>
  <si>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</si>
  <si>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</si>
  <si>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</si>
  <si>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</si>
  <si>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</si>
  <si>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</si>
  <si>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</si>
  <si>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</si>
  <si>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</si>
  <si>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</si>
  <si>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221</t>
  </si>
  <si>
    <t>2</t>
  </si>
  <si>
    <t>3</t>
  </si>
  <si>
    <t>07703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</si>
</sst>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0&quot;0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8"/>
      <color theme="5" tint="0.59999389629810485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color rgb="FFFFC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9" fontId="6" fillId="3" borderId="2" xfId="0" applyNumberFormat="1" applyFont="1" applyFill="1" applyBorder="1"/>
    <xf numFmtId="0" fontId="6" fillId="3" borderId="1" xfId="0" applyFont="1" applyFill="1" applyBorder="1"/>
    <xf numFmtId="4" fontId="6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49" fontId="0" fillId="0" borderId="7" xfId="0" applyNumberFormat="1" applyBorder="1"/>
    <xf numFmtId="0" fontId="6" fillId="3" borderId="2" xfId="0" applyFont="1" applyFill="1" applyBorder="1"/>
    <xf numFmtId="0" fontId="0" fillId="0" borderId="6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0" fillId="0" borderId="6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6" fillId="3" borderId="6" xfId="0" applyFont="1" applyFill="1" applyBorder="1"/>
    <xf numFmtId="49" fontId="10" fillId="3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2" fillId="6" borderId="0" xfId="0" applyNumberFormat="1" applyFont="1" applyFill="1"/>
    <xf numFmtId="0" fontId="0" fillId="6" borderId="0" xfId="0" applyFill="1"/>
    <xf numFmtId="0" fontId="2" fillId="5" borderId="0" xfId="0" applyFont="1" applyFill="1"/>
    <xf numFmtId="49" fontId="13" fillId="0" borderId="0" xfId="0" applyNumberFormat="1" applyFont="1"/>
    <xf numFmtId="0" fontId="1" fillId="3" borderId="16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10" fillId="0" borderId="0" xfId="0" applyFont="1" applyAlignment="1">
      <alignment horizontal="right"/>
    </xf>
    <xf numFmtId="0" fontId="9" fillId="3" borderId="5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49" fontId="7" fillId="0" borderId="0" xfId="0" applyNumberFormat="1" applyFon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2" borderId="0" xfId="0" applyNumberFormat="1" applyFill="1"/>
    <xf numFmtId="14" fontId="0" fillId="0" borderId="0" xfId="0" applyNumberFormat="1"/>
    <xf numFmtId="165" fontId="0" fillId="0" borderId="0" xfId="0" applyNumberFormat="1"/>
    <xf numFmtId="49" fontId="2" fillId="5" borderId="0" xfId="0" applyNumberFormat="1" applyFont="1" applyFill="1"/>
    <xf numFmtId="14" fontId="2" fillId="0" borderId="0" xfId="0" applyNumberFormat="1" applyFont="1"/>
    <xf numFmtId="0" fontId="9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7" borderId="0" xfId="0" applyFont="1" applyFill="1"/>
    <xf numFmtId="49" fontId="14" fillId="0" borderId="4" xfId="0" applyNumberFormat="1" applyFont="1" applyBorder="1"/>
    <xf numFmtId="49" fontId="0" fillId="0" borderId="21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49" fontId="1" fillId="3" borderId="6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/>
    <xf numFmtId="0" fontId="0" fillId="0" borderId="22" xfId="0" applyBorder="1" applyAlignment="1">
      <alignment horizontal="center"/>
    </xf>
    <xf numFmtId="0" fontId="1" fillId="3" borderId="2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49" fontId="7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1015316</xdr:colOff>
      <xdr:row>1</xdr:row>
      <xdr:rowOff>52294</xdr:rowOff>
    </xdr:from>
    <xdr:to>
      <xdr:col>22</xdr:col>
      <xdr:colOff>2009</xdr:colOff>
      <xdr:row>8</xdr:row>
      <xdr:rowOff>11206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E17CC2-9435-4388-98BC-92F536F09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63" y="343647"/>
          <a:ext cx="1808335" cy="1281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9165965-57E7-4B30-936A-4360630242EE}" autoFormatId="16" applyNumberFormats="0" applyBorderFormats="0" applyFontFormats="0" applyPatternFormats="0" applyAlignmentFormats="0" applyWidthHeightFormats="0">
  <queryTableRefresh nextId="2">
    <queryTableFields count="1">
      <queryTableField id="1" name="Colonne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3B717B-C88F-4F62-8F26-C2D4860E8510}" name="Tableau1_1" displayName="Tableau1_1" ref="A1:A4" tableType="queryTable" totalsRowShown="0">
  <autoFilter ref="A1:A4" xr:uid="{2C3B717B-C88F-4F62-8F26-C2D4860E8510}"/>
  <tableColumns count="1">
    <tableColumn id="1" xr3:uid="{E473647D-E9FA-4649-B96C-DE5725386C9F}" uniqueName="1" name="Colonne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A86B-B025-463C-815F-AB235C069C5A}">
  <dimension ref="A1:A4"/>
  <sheetViews>
    <sheetView workbookViewId="0"/>
  </sheetViews>
  <sheetFormatPr baseColWidth="10" defaultRowHeight="15" x14ac:dyDescent="0.25"/>
  <cols>
    <col min="1" max="1" width="11.7109375" bestFit="1" customWidth="1"/>
  </cols>
  <sheetData>
    <row r="1" spans="1:1" x14ac:dyDescent="0.25">
      <c r="A1" t="s">
        <v>49</v>
      </c>
    </row>
    <row r="2" spans="1:1" x14ac:dyDescent="0.25">
      <c r="A2" t="s">
        <v>54</v>
      </c>
    </row>
    <row r="3" spans="1:1" x14ac:dyDescent="0.25">
      <c r="A3" t="s">
        <v>46</v>
      </c>
    </row>
    <row r="4" spans="1:1" x14ac:dyDescent="0.25">
      <c r="A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3DAC-B396-42A1-96F9-799421DAEAE2}">
  <dimension ref="A1:AA53"/>
  <sheetViews>
    <sheetView tabSelected="1" zoomScale="85" zoomScaleNormal="85" workbookViewId="0">
      <selection activeCell="B20" sqref="B20:B32"/>
    </sheetView>
  </sheetViews>
  <sheetFormatPr baseColWidth="10" defaultRowHeight="15" x14ac:dyDescent="0.25"/>
  <cols>
    <col min="1" max="1" width="18.28515625" style="2" customWidth="1"/>
    <col min="2" max="2" width="14.28515625" style="2" customWidth="1"/>
    <col min="3" max="3" width="16.42578125" style="2" customWidth="1"/>
    <col min="4" max="4" width="13" customWidth="1"/>
    <col min="5" max="5" width="12.28515625" customWidth="1"/>
    <col min="6" max="6" width="8.5703125" customWidth="1"/>
    <col min="7" max="7" width="7.7109375" customWidth="1"/>
    <col min="8" max="11" width="6.7109375" customWidth="1"/>
    <col min="12" max="12" width="6.140625" customWidth="1"/>
    <col min="13" max="13" width="6.28515625" customWidth="1"/>
    <col min="14" max="14" width="6.85546875" style="4" customWidth="1"/>
    <col min="15" max="15" width="6.85546875" customWidth="1"/>
    <col min="16" max="16" width="8.42578125" customWidth="1"/>
    <col min="17" max="17" width="6" customWidth="1"/>
    <col min="18" max="18" width="5.5703125" customWidth="1"/>
    <col min="19" max="19" width="9" customWidth="1"/>
    <col min="20" max="20" width="15.7109375" customWidth="1"/>
    <col min="21" max="21" width="15.42578125" customWidth="1"/>
    <col min="22" max="22" width="10.85546875" customWidth="1"/>
    <col min="23" max="23" width="10.42578125" customWidth="1"/>
  </cols>
  <sheetData>
    <row r="1" spans="1:23" ht="23.25" x14ac:dyDescent="0.35">
      <c r="A1" s="76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53"/>
    </row>
    <row r="2" spans="1:23" x14ac:dyDescent="0.25">
      <c r="T2" s="4"/>
      <c r="U2" s="4"/>
    </row>
    <row r="3" spans="1:23" x14ac:dyDescent="0.25">
      <c r="A3" s="3" t="s">
        <v>22</v>
      </c>
      <c r="B3" s="54" t="s">
        <v>78</v>
      </c>
      <c r="C3" s="55"/>
      <c r="D3" s="3" t="s">
        <v>20</v>
      </c>
      <c r="E3" s="54" t="s">
        <v>79</v>
      </c>
    </row>
    <row r="4" spans="1:23" x14ac:dyDescent="0.25">
      <c r="A4" s="3" t="s">
        <v>24</v>
      </c>
      <c r="B4" s="54" t="s">
        <v>81</v>
      </c>
      <c r="C4" s="55"/>
      <c r="D4" s="3" t="s">
        <v>21</v>
      </c>
      <c r="E4" s="54" t="s">
        <v>80</v>
      </c>
    </row>
    <row r="5" spans="1:23" ht="14.25" customHeight="1" x14ac:dyDescent="0.25">
      <c r="C5" s="55"/>
    </row>
    <row r="6" spans="1:23" x14ac:dyDescent="0.25">
      <c r="A6" s="3" t="s">
        <v>1</v>
      </c>
      <c r="B6" s="54">
        <v>260248</v>
      </c>
      <c r="C6" s="55"/>
    </row>
    <row r="7" spans="1:23" x14ac:dyDescent="0.25">
      <c r="A7" s="3" t="s">
        <v>2</v>
      </c>
      <c r="B7" s="56">
        <v>46216</v>
      </c>
      <c r="C7" s="57"/>
      <c r="G7" s="58"/>
    </row>
    <row r="9" spans="1:23" x14ac:dyDescent="0.25">
      <c r="A9" s="59" t="s">
        <v>51</v>
      </c>
      <c r="B9" s="60">
        <v>46217</v>
      </c>
    </row>
    <row r="10" spans="1:23" x14ac:dyDescent="0.25">
      <c r="A10" s="38" t="s">
        <v>55</v>
      </c>
      <c r="B10" t="s">
        <v>74</v>
      </c>
    </row>
    <row r="11" spans="1:23" x14ac:dyDescent="0.25">
      <c r="A11" s="39" t="s">
        <v>56</v>
      </c>
      <c r="B11"/>
    </row>
    <row r="12" spans="1:23" ht="15.75" customHeight="1" thickBot="1" x14ac:dyDescent="0.3">
      <c r="B12"/>
    </row>
    <row r="13" spans="1:23" ht="15.75" x14ac:dyDescent="0.25">
      <c r="C13"/>
      <c r="F13" s="23" t="s">
        <v>25</v>
      </c>
      <c r="G13" s="19" t="s">
        <v>14</v>
      </c>
      <c r="H13" s="19" t="s">
        <v>16</v>
      </c>
      <c r="I13" s="19" t="s">
        <v>26</v>
      </c>
      <c r="J13" s="19" t="s">
        <v>27</v>
      </c>
      <c r="K13" s="19" t="s">
        <v>28</v>
      </c>
      <c r="L13" s="19" t="s">
        <v>29</v>
      </c>
      <c r="M13" s="19" t="s">
        <v>30</v>
      </c>
      <c r="N13" s="19" t="s">
        <v>31</v>
      </c>
      <c r="O13" s="19" t="s">
        <v>32</v>
      </c>
      <c r="P13" s="19" t="s">
        <v>33</v>
      </c>
      <c r="Q13" s="19" t="s">
        <v>34</v>
      </c>
      <c r="R13" s="20"/>
    </row>
    <row r="14" spans="1:23" ht="15.75" x14ac:dyDescent="0.25">
      <c r="A14"/>
      <c r="C14"/>
      <c r="F14" s="24" t="s">
        <v>35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36</v>
      </c>
      <c r="Q14" s="4"/>
      <c r="R14" s="22"/>
    </row>
    <row r="15" spans="1:23" ht="15.75" x14ac:dyDescent="0.25">
      <c r="C15"/>
      <c r="F15" s="24" t="s">
        <v>37</v>
      </c>
      <c r="G15" s="21" t="s">
        <v>37</v>
      </c>
      <c r="N15"/>
      <c r="Q15" s="4"/>
      <c r="R15" s="22"/>
    </row>
    <row r="16" spans="1:23" ht="16.5" thickBot="1" x14ac:dyDescent="0.3">
      <c r="B16" s="35"/>
      <c r="C16"/>
      <c r="E16" s="50"/>
      <c r="F16" s="25" t="s">
        <v>38</v>
      </c>
      <c r="G16" s="21" t="s">
        <v>39</v>
      </c>
      <c r="H16" t="s">
        <v>40</v>
      </c>
      <c r="I16" t="s">
        <v>41</v>
      </c>
      <c r="J16" t="s">
        <v>42</v>
      </c>
      <c r="K16" t="s">
        <v>13</v>
      </c>
      <c r="L16" t="s">
        <v>14</v>
      </c>
      <c r="M16" t="s">
        <v>15</v>
      </c>
      <c r="N16" t="s">
        <v>16</v>
      </c>
      <c r="O16" t="s">
        <v>43</v>
      </c>
      <c r="P16" t="s">
        <v>26</v>
      </c>
      <c r="Q16" s="4" t="s">
        <v>44</v>
      </c>
      <c r="R16" s="22" t="s">
        <v>27</v>
      </c>
      <c r="T16" s="35" t="s">
        <v>50</v>
      </c>
    </row>
    <row r="17" spans="1:27" ht="15.75" x14ac:dyDescent="0.25">
      <c r="C17"/>
      <c r="F17" s="24" t="s">
        <v>69</v>
      </c>
      <c r="G17" s="21" t="s">
        <v>70</v>
      </c>
      <c r="H17" t="s">
        <v>71</v>
      </c>
      <c r="I17" t="s">
        <v>72</v>
      </c>
      <c r="N17"/>
      <c r="Q17" s="4"/>
      <c r="R17" s="22"/>
    </row>
    <row r="18" spans="1:27" s="9" customFormat="1" ht="46.5" customHeight="1" x14ac:dyDescent="0.25">
      <c r="A18" s="15" t="s">
        <v>45</v>
      </c>
      <c r="B18" s="70" t="s">
        <v>0</v>
      </c>
      <c r="C18" s="15" t="s">
        <v>3</v>
      </c>
      <c r="D18" s="15" t="s">
        <v>23</v>
      </c>
      <c r="E18" s="34" t="s">
        <v>68</v>
      </c>
      <c r="F18" s="51" t="s">
        <v>48</v>
      </c>
      <c r="G18" s="52" t="s">
        <v>67</v>
      </c>
      <c r="H18" s="17"/>
      <c r="I18" s="18"/>
      <c r="J18" s="17"/>
      <c r="K18" s="18"/>
      <c r="L18" s="17"/>
      <c r="M18" s="18"/>
      <c r="N18" s="17"/>
      <c r="O18" s="18"/>
      <c r="P18" s="17"/>
      <c r="Q18" s="18"/>
      <c r="R18" s="17"/>
      <c r="S18" s="73" t="s">
        <v>17</v>
      </c>
      <c r="T18" s="16" t="s">
        <v>12</v>
      </c>
      <c r="U18" s="16" t="s">
        <v>18</v>
      </c>
      <c r="V18" s="16" t="s">
        <v>19</v>
      </c>
      <c r="Y18"/>
      <c r="AA18"/>
    </row>
    <row r="19" spans="1:27" ht="15.75" x14ac:dyDescent="0.25">
      <c r="A19" s="66" t="s">
        <v>77</v>
      </c>
      <c r="B19" s="30" t="s">
        <v>99</v>
      </c>
      <c r="C19" s="68" t="s">
        <v>83</v>
      </c>
      <c r="D19" s="6" t="s">
        <v>96</v>
      </c>
      <c r="E19" s="6" t="s">
        <v>97</v>
      </c>
      <c r="F19" s="7" t="s">
        <v>37</v>
      </c>
      <c r="G19" s="32">
        <v>5</v>
      </c>
      <c r="H19" s="31"/>
      <c r="I19" s="32"/>
      <c r="J19" s="31"/>
      <c r="K19" s="32"/>
      <c r="L19" s="31"/>
      <c r="M19" s="32"/>
      <c r="N19" s="31"/>
      <c r="O19" s="32"/>
      <c r="P19" s="31"/>
      <c r="Q19" s="32"/>
      <c r="R19" s="31"/>
      <c r="S19" s="28">
        <f t="shared" ref="S19" si="0">SUM(F19:R19)</f>
        <v>5</v>
      </c>
      <c r="T19" s="72" t="s">
        <v>82</v>
      </c>
      <c r="U19" s="8">
        <v>4</v>
      </c>
      <c r="V19" s="8">
        <v>5.28</v>
      </c>
      <c r="Y19" s="9"/>
      <c r="AA19" s="9"/>
    </row>
    <row r="20" spans="1:27" ht="15.75" x14ac:dyDescent="0.25">
      <c r="A20" s="66" t="s">
        <v>77</v>
      </c>
      <c r="B20" s="6" t="s">
        <v>99</v>
      </c>
      <c r="C20" s="68" t="s">
        <v>83</v>
      </c>
      <c r="D20" s="6" t="s">
        <v>96</v>
      </c>
      <c r="E20" s="6" t="s">
        <v>98</v>
      </c>
      <c r="F20" s="7" t="s">
        <v>37</v>
      </c>
      <c r="G20" s="32">
        <v>5</v>
      </c>
      <c r="H20" s="31"/>
      <c r="I20" s="32"/>
      <c r="J20" s="31"/>
      <c r="K20" s="32"/>
      <c r="L20" s="31"/>
      <c r="M20" s="32"/>
      <c r="N20" s="31"/>
      <c r="O20" s="32"/>
      <c r="P20" s="31"/>
      <c r="Q20" s="32"/>
      <c r="R20" s="31"/>
      <c r="S20" s="28">
        <f t="shared" ref="S20:S23" si="1">SUM(F20:R20)</f>
        <v>5</v>
      </c>
      <c r="T20" s="72" t="s">
        <v>82</v>
      </c>
      <c r="U20" s="8">
        <v>4</v>
      </c>
      <c r="V20" s="8">
        <v>5.28</v>
      </c>
      <c r="Y20" s="9"/>
      <c r="AA20" s="9"/>
    </row>
    <row r="21" spans="1:27" ht="15.75" x14ac:dyDescent="0.25">
      <c r="A21" s="66" t="s">
        <v>77</v>
      </c>
      <c r="B21" s="6" t="s">
        <v>99</v>
      </c>
      <c r="C21" s="68" t="s">
        <v>83</v>
      </c>
      <c r="D21" s="6" t="s">
        <v>96</v>
      </c>
      <c r="E21" s="6" t="s">
        <v>84</v>
      </c>
      <c r="F21" s="7" t="s">
        <v>37</v>
      </c>
      <c r="G21" s="32">
        <v>5</v>
      </c>
      <c r="H21" s="31"/>
      <c r="I21" s="32"/>
      <c r="J21" s="31"/>
      <c r="K21" s="32"/>
      <c r="L21" s="31"/>
      <c r="M21" s="32"/>
      <c r="N21" s="31"/>
      <c r="O21" s="32"/>
      <c r="P21" s="31"/>
      <c r="Q21" s="32"/>
      <c r="R21" s="31"/>
      <c r="S21" s="28">
        <f t="shared" si="1"/>
        <v>5</v>
      </c>
      <c r="T21" s="72" t="s">
        <v>82</v>
      </c>
      <c r="U21" s="8">
        <v>4</v>
      </c>
      <c r="V21" s="8">
        <v>5.28</v>
      </c>
      <c r="Y21" s="9"/>
      <c r="AA21" s="9"/>
    </row>
    <row r="22" spans="1:27" ht="15.75" x14ac:dyDescent="0.25">
      <c r="A22" s="66" t="s">
        <v>77</v>
      </c>
      <c r="B22" s="6" t="s">
        <v>99</v>
      </c>
      <c r="C22" s="68" t="s">
        <v>83</v>
      </c>
      <c r="D22" s="6" t="s">
        <v>96</v>
      </c>
      <c r="E22" s="6" t="s">
        <v>85</v>
      </c>
      <c r="F22" s="7" t="s">
        <v>37</v>
      </c>
      <c r="G22" s="32">
        <v>5</v>
      </c>
      <c r="H22" s="31"/>
      <c r="I22" s="32"/>
      <c r="J22" s="31"/>
      <c r="K22" s="32"/>
      <c r="L22" s="31"/>
      <c r="M22" s="32"/>
      <c r="N22" s="31"/>
      <c r="O22" s="32"/>
      <c r="P22" s="31"/>
      <c r="Q22" s="32"/>
      <c r="R22" s="31"/>
      <c r="S22" s="28">
        <f t="shared" si="1"/>
        <v>5</v>
      </c>
      <c r="T22" s="72" t="s">
        <v>82</v>
      </c>
      <c r="U22" s="8">
        <v>4</v>
      </c>
      <c r="V22" s="8">
        <v>5.28</v>
      </c>
      <c r="Y22" s="9"/>
      <c r="AA22" s="9"/>
    </row>
    <row r="23" spans="1:27" ht="15.75" x14ac:dyDescent="0.25">
      <c r="A23" s="66" t="s">
        <v>77</v>
      </c>
      <c r="B23" s="6" t="s">
        <v>99</v>
      </c>
      <c r="C23" s="68" t="s">
        <v>83</v>
      </c>
      <c r="D23" s="6" t="s">
        <v>96</v>
      </c>
      <c r="E23" s="6" t="s">
        <v>86</v>
      </c>
      <c r="F23" s="7" t="s">
        <v>37</v>
      </c>
      <c r="G23" s="32">
        <v>5</v>
      </c>
      <c r="H23" s="31"/>
      <c r="I23" s="32"/>
      <c r="J23" s="31"/>
      <c r="K23" s="32"/>
      <c r="L23" s="31"/>
      <c r="M23" s="32"/>
      <c r="N23" s="31"/>
      <c r="O23" s="32"/>
      <c r="P23" s="31"/>
      <c r="Q23" s="32"/>
      <c r="R23" s="31"/>
      <c r="S23" s="28">
        <f t="shared" si="1"/>
        <v>5</v>
      </c>
      <c r="T23" s="72" t="s">
        <v>82</v>
      </c>
      <c r="U23" s="8">
        <v>4</v>
      </c>
      <c r="V23" s="8">
        <v>5.28</v>
      </c>
      <c r="Y23" s="9"/>
      <c r="AA23" s="9"/>
    </row>
    <row r="24" spans="1:27" ht="15.75" x14ac:dyDescent="0.25">
      <c r="A24" s="66" t="s">
        <v>77</v>
      </c>
      <c r="B24" s="6" t="s">
        <v>99</v>
      </c>
      <c r="C24" s="68" t="s">
        <v>83</v>
      </c>
      <c r="D24" s="6" t="s">
        <v>96</v>
      </c>
      <c r="E24" s="6" t="s">
        <v>87</v>
      </c>
      <c r="F24" s="7" t="s">
        <v>37</v>
      </c>
      <c r="G24" s="32">
        <v>5</v>
      </c>
      <c r="H24" s="31"/>
      <c r="I24" s="32"/>
      <c r="J24" s="31"/>
      <c r="K24" s="32"/>
      <c r="L24" s="31"/>
      <c r="M24" s="32"/>
      <c r="N24" s="31"/>
      <c r="O24" s="32"/>
      <c r="P24" s="31"/>
      <c r="Q24" s="32"/>
      <c r="R24" s="31"/>
      <c r="S24" s="28">
        <f t="shared" ref="S24:S27" si="2">SUM(F24:R24)</f>
        <v>5</v>
      </c>
      <c r="T24" s="72" t="s">
        <v>82</v>
      </c>
      <c r="U24" s="8">
        <v>4</v>
      </c>
      <c r="V24" s="8">
        <v>5.28</v>
      </c>
      <c r="Y24" s="9"/>
      <c r="AA24" s="9"/>
    </row>
    <row r="25" spans="1:27" ht="15.75" x14ac:dyDescent="0.25">
      <c r="A25" s="66" t="s">
        <v>77</v>
      </c>
      <c r="B25" s="6" t="s">
        <v>99</v>
      </c>
      <c r="C25" s="68" t="s">
        <v>83</v>
      </c>
      <c r="D25" s="6" t="s">
        <v>96</v>
      </c>
      <c r="E25" s="6" t="s">
        <v>88</v>
      </c>
      <c r="F25" s="7" t="s">
        <v>37</v>
      </c>
      <c r="G25" s="32">
        <v>5</v>
      </c>
      <c r="H25" s="31"/>
      <c r="I25" s="32"/>
      <c r="J25" s="31"/>
      <c r="K25" s="32"/>
      <c r="L25" s="31"/>
      <c r="M25" s="32"/>
      <c r="N25" s="31"/>
      <c r="O25" s="32"/>
      <c r="P25" s="31"/>
      <c r="Q25" s="32"/>
      <c r="R25" s="31"/>
      <c r="S25" s="28">
        <f t="shared" si="2"/>
        <v>5</v>
      </c>
      <c r="T25" s="72" t="s">
        <v>82</v>
      </c>
      <c r="U25" s="8">
        <v>4</v>
      </c>
      <c r="V25" s="8">
        <v>5.28</v>
      </c>
      <c r="Y25" s="9"/>
      <c r="AA25" s="9"/>
    </row>
    <row r="26" spans="1:27" ht="15.75" x14ac:dyDescent="0.25">
      <c r="A26" s="66" t="s">
        <v>77</v>
      </c>
      <c r="B26" s="6" t="s">
        <v>99</v>
      </c>
      <c r="C26" s="68" t="s">
        <v>83</v>
      </c>
      <c r="D26" s="6" t="s">
        <v>96</v>
      </c>
      <c r="E26" s="6" t="s">
        <v>89</v>
      </c>
      <c r="F26" s="7" t="s">
        <v>37</v>
      </c>
      <c r="G26" s="32">
        <v>5</v>
      </c>
      <c r="H26" s="31"/>
      <c r="I26" s="32"/>
      <c r="J26" s="31"/>
      <c r="K26" s="32"/>
      <c r="L26" s="31"/>
      <c r="M26" s="32"/>
      <c r="N26" s="31"/>
      <c r="O26" s="32"/>
      <c r="P26" s="31"/>
      <c r="Q26" s="32"/>
      <c r="R26" s="31"/>
      <c r="S26" s="28">
        <f t="shared" si="2"/>
        <v>5</v>
      </c>
      <c r="T26" s="72" t="s">
        <v>82</v>
      </c>
      <c r="U26" s="8">
        <v>4</v>
      </c>
      <c r="V26" s="8">
        <v>5.28</v>
      </c>
      <c r="Y26" s="9"/>
      <c r="AA26" s="9"/>
    </row>
    <row r="27" spans="1:27" ht="15.75" x14ac:dyDescent="0.25">
      <c r="A27" s="66" t="s">
        <v>77</v>
      </c>
      <c r="B27" s="6" t="s">
        <v>99</v>
      </c>
      <c r="C27" s="68" t="s">
        <v>83</v>
      </c>
      <c r="D27" s="6" t="s">
        <v>96</v>
      </c>
      <c r="E27" s="6" t="s">
        <v>90</v>
      </c>
      <c r="F27" s="7" t="s">
        <v>37</v>
      </c>
      <c r="G27" s="32">
        <v>5</v>
      </c>
      <c r="H27" s="31"/>
      <c r="I27" s="32"/>
      <c r="J27" s="31"/>
      <c r="K27" s="32"/>
      <c r="L27" s="31"/>
      <c r="M27" s="32"/>
      <c r="N27" s="31"/>
      <c r="O27" s="32"/>
      <c r="P27" s="31"/>
      <c r="Q27" s="32"/>
      <c r="R27" s="31"/>
      <c r="S27" s="28">
        <f t="shared" si="2"/>
        <v>5</v>
      </c>
      <c r="T27" s="72" t="s">
        <v>82</v>
      </c>
      <c r="U27" s="8">
        <v>4</v>
      </c>
      <c r="V27" s="8">
        <v>5.28</v>
      </c>
      <c r="Y27" s="9"/>
      <c r="AA27" s="9"/>
    </row>
    <row r="28" spans="1:27" ht="15.75" x14ac:dyDescent="0.25">
      <c r="A28" s="66" t="s">
        <v>77</v>
      </c>
      <c r="B28" s="6" t="s">
        <v>99</v>
      </c>
      <c r="C28" s="68" t="s">
        <v>83</v>
      </c>
      <c r="D28" s="6" t="s">
        <v>96</v>
      </c>
      <c r="E28" s="6" t="s">
        <v>91</v>
      </c>
      <c r="F28" s="7" t="s">
        <v>37</v>
      </c>
      <c r="G28" s="32">
        <v>5</v>
      </c>
      <c r="H28" s="31"/>
      <c r="I28" s="32"/>
      <c r="J28" s="31"/>
      <c r="K28" s="32"/>
      <c r="L28" s="31"/>
      <c r="M28" s="32"/>
      <c r="N28" s="31"/>
      <c r="O28" s="32"/>
      <c r="P28" s="31"/>
      <c r="Q28" s="32"/>
      <c r="R28" s="31"/>
      <c r="S28" s="28">
        <f t="shared" ref="S28:S30" si="3">SUM(F28:R28)</f>
        <v>5</v>
      </c>
      <c r="T28" s="72" t="s">
        <v>82</v>
      </c>
      <c r="U28" s="8">
        <v>4</v>
      </c>
      <c r="V28" s="8">
        <v>5.28</v>
      </c>
      <c r="Y28" s="9"/>
      <c r="AA28" s="9"/>
    </row>
    <row r="29" spans="1:27" ht="15.75" x14ac:dyDescent="0.25">
      <c r="A29" s="66" t="s">
        <v>77</v>
      </c>
      <c r="B29" s="6" t="s">
        <v>99</v>
      </c>
      <c r="C29" s="68" t="s">
        <v>83</v>
      </c>
      <c r="D29" s="6" t="s">
        <v>96</v>
      </c>
      <c r="E29" s="6" t="s">
        <v>92</v>
      </c>
      <c r="F29" s="7" t="s">
        <v>37</v>
      </c>
      <c r="G29" s="32">
        <v>5</v>
      </c>
      <c r="H29" s="31"/>
      <c r="I29" s="32"/>
      <c r="J29" s="31"/>
      <c r="K29" s="32"/>
      <c r="L29" s="31"/>
      <c r="M29" s="32"/>
      <c r="N29" s="31"/>
      <c r="O29" s="32"/>
      <c r="P29" s="31"/>
      <c r="Q29" s="32"/>
      <c r="R29" s="31"/>
      <c r="S29" s="28">
        <f t="shared" si="3"/>
        <v>5</v>
      </c>
      <c r="T29" s="72" t="s">
        <v>82</v>
      </c>
      <c r="U29" s="8">
        <v>4</v>
      </c>
      <c r="V29" s="8">
        <v>5.28</v>
      </c>
      <c r="Y29" s="9"/>
      <c r="AA29" s="9"/>
    </row>
    <row r="30" spans="1:27" ht="15.75" x14ac:dyDescent="0.25">
      <c r="A30" s="66" t="s">
        <v>77</v>
      </c>
      <c r="B30" s="6" t="s">
        <v>99</v>
      </c>
      <c r="C30" s="68" t="s">
        <v>83</v>
      </c>
      <c r="D30" s="6" t="s">
        <v>96</v>
      </c>
      <c r="E30" s="6" t="s">
        <v>93</v>
      </c>
      <c r="F30" s="7" t="s">
        <v>37</v>
      </c>
      <c r="G30" s="32">
        <v>5</v>
      </c>
      <c r="H30" s="31"/>
      <c r="I30" s="32"/>
      <c r="J30" s="31"/>
      <c r="K30" s="32"/>
      <c r="L30" s="31"/>
      <c r="M30" s="32"/>
      <c r="N30" s="31"/>
      <c r="O30" s="32"/>
      <c r="P30" s="31"/>
      <c r="Q30" s="32"/>
      <c r="R30" s="31"/>
      <c r="S30" s="28">
        <f t="shared" si="3"/>
        <v>5</v>
      </c>
      <c r="T30" s="72" t="s">
        <v>82</v>
      </c>
      <c r="U30" s="8">
        <v>4</v>
      </c>
      <c r="V30" s="8">
        <v>5.28</v>
      </c>
      <c r="Y30" s="9"/>
      <c r="AA30" s="9"/>
    </row>
    <row r="31" spans="1:27" ht="15.75" x14ac:dyDescent="0.25">
      <c r="A31" s="66" t="s">
        <v>77</v>
      </c>
      <c r="B31" s="6" t="s">
        <v>99</v>
      </c>
      <c r="C31" s="68" t="s">
        <v>83</v>
      </c>
      <c r="D31" s="6" t="s">
        <v>96</v>
      </c>
      <c r="E31" s="6" t="s">
        <v>94</v>
      </c>
      <c r="F31" s="7" t="s">
        <v>37</v>
      </c>
      <c r="G31" s="32">
        <v>5</v>
      </c>
      <c r="H31" s="31"/>
      <c r="I31" s="32"/>
      <c r="J31" s="31"/>
      <c r="K31" s="32"/>
      <c r="L31" s="31"/>
      <c r="M31" s="32"/>
      <c r="N31" s="31"/>
      <c r="O31" s="32"/>
      <c r="P31" s="31"/>
      <c r="Q31" s="32"/>
      <c r="R31" s="31"/>
      <c r="S31" s="28">
        <f t="shared" ref="S31:S32" si="4">SUM(F31:R31)</f>
        <v>5</v>
      </c>
      <c r="T31" s="72" t="s">
        <v>82</v>
      </c>
      <c r="U31" s="8">
        <v>4</v>
      </c>
      <c r="V31" s="8">
        <v>5.28</v>
      </c>
      <c r="Y31" s="9"/>
      <c r="AA31" s="9"/>
    </row>
    <row r="32" spans="1:27" ht="15.75" x14ac:dyDescent="0.25">
      <c r="A32" s="66" t="s">
        <v>77</v>
      </c>
      <c r="B32" s="6" t="s">
        <v>99</v>
      </c>
      <c r="C32" s="68" t="s">
        <v>83</v>
      </c>
      <c r="D32" s="6" t="s">
        <v>96</v>
      </c>
      <c r="E32" s="6" t="s">
        <v>95</v>
      </c>
      <c r="F32" s="7" t="s">
        <v>37</v>
      </c>
      <c r="G32" s="32">
        <v>3</v>
      </c>
      <c r="H32" s="31"/>
      <c r="I32" s="32"/>
      <c r="J32" s="31"/>
      <c r="K32" s="32"/>
      <c r="L32" s="31"/>
      <c r="M32" s="32"/>
      <c r="N32" s="31"/>
      <c r="O32" s="32"/>
      <c r="P32" s="31"/>
      <c r="Q32" s="32"/>
      <c r="R32" s="31"/>
      <c r="S32" s="28">
        <f t="shared" si="4"/>
        <v>3</v>
      </c>
      <c r="T32" s="72" t="s">
        <v>82</v>
      </c>
      <c r="U32" s="8">
        <v>2</v>
      </c>
      <c r="V32" s="8">
        <v>3.2</v>
      </c>
      <c r="Y32" s="9"/>
      <c r="AA32" s="9"/>
    </row>
    <row r="33" spans="1:27" x14ac:dyDescent="0.25">
      <c r="A33" s="67"/>
      <c r="B33" s="26"/>
      <c r="C33" s="69"/>
      <c r="D33" s="26"/>
      <c r="E33" s="7"/>
      <c r="G33" s="32"/>
      <c r="H33" s="31"/>
      <c r="I33" s="32"/>
      <c r="J33" s="31"/>
      <c r="K33" s="32"/>
      <c r="L33" s="31"/>
      <c r="M33" s="32"/>
      <c r="N33" s="31"/>
      <c r="O33" s="32"/>
      <c r="P33" s="31"/>
      <c r="Q33" s="32"/>
      <c r="R33" s="31"/>
      <c r="S33" s="75"/>
      <c r="T33" s="72"/>
      <c r="U33" s="8"/>
      <c r="V33" s="8"/>
    </row>
    <row r="34" spans="1:27" s="10" customFormat="1" ht="15.75" x14ac:dyDescent="0.25">
      <c r="A34" s="12"/>
      <c r="B34" s="71"/>
      <c r="C34" s="13"/>
      <c r="D34" s="33"/>
      <c r="E34" s="33"/>
      <c r="F34" s="33"/>
      <c r="G34" s="33">
        <f t="shared" ref="G34:S34" si="5">SUM(G19:G33)</f>
        <v>68</v>
      </c>
      <c r="H34" s="33">
        <f t="shared" si="5"/>
        <v>0</v>
      </c>
      <c r="I34" s="33">
        <f t="shared" si="5"/>
        <v>0</v>
      </c>
      <c r="J34" s="13">
        <f t="shared" si="5"/>
        <v>0</v>
      </c>
      <c r="K34" s="13">
        <f t="shared" si="5"/>
        <v>0</v>
      </c>
      <c r="L34" s="13">
        <f t="shared" si="5"/>
        <v>0</v>
      </c>
      <c r="M34" s="13">
        <f t="shared" si="5"/>
        <v>0</v>
      </c>
      <c r="N34" s="13">
        <f t="shared" si="5"/>
        <v>0</v>
      </c>
      <c r="O34" s="13">
        <f t="shared" si="5"/>
        <v>0</v>
      </c>
      <c r="P34" s="13">
        <f t="shared" si="5"/>
        <v>0</v>
      </c>
      <c r="Q34" s="13">
        <f t="shared" si="5"/>
        <v>0</v>
      </c>
      <c r="R34" s="27">
        <f t="shared" si="5"/>
        <v>0</v>
      </c>
      <c r="S34" s="74">
        <f t="shared" si="5"/>
        <v>68</v>
      </c>
      <c r="T34" s="29"/>
      <c r="U34" s="14">
        <f>SUM(U19:U33)</f>
        <v>54</v>
      </c>
      <c r="V34" s="14">
        <f>SUM(V19:V33)</f>
        <v>71.84</v>
      </c>
      <c r="Y34"/>
      <c r="AA34"/>
    </row>
    <row r="35" spans="1:27" ht="6" customHeight="1" thickBot="1" x14ac:dyDescent="0.3"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5"/>
      <c r="N35" s="11"/>
      <c r="Y35" s="10"/>
      <c r="AA35" s="10"/>
    </row>
    <row r="36" spans="1:27" ht="15.75" thickBot="1" x14ac:dyDescent="0.3">
      <c r="A36" s="36" t="s">
        <v>57</v>
      </c>
      <c r="B36" s="37"/>
      <c r="C36"/>
      <c r="E36" s="2"/>
      <c r="M36" s="4"/>
      <c r="N36"/>
      <c r="T36" s="47" t="s">
        <v>61</v>
      </c>
      <c r="U36" s="48"/>
      <c r="V36" s="49"/>
    </row>
    <row r="37" spans="1:27" x14ac:dyDescent="0.25">
      <c r="A37" s="36" t="s">
        <v>52</v>
      </c>
      <c r="B37" s="37"/>
      <c r="C37"/>
      <c r="E37" s="2"/>
      <c r="M37" s="4"/>
      <c r="N37"/>
      <c r="T37" s="40" t="s">
        <v>59</v>
      </c>
      <c r="U37" s="41"/>
      <c r="V37" s="42">
        <f>+S34</f>
        <v>68</v>
      </c>
    </row>
    <row r="38" spans="1:27" x14ac:dyDescent="0.25">
      <c r="A38" s="4"/>
      <c r="B38" s="4"/>
      <c r="C38"/>
      <c r="E38" s="2"/>
      <c r="M38" s="4"/>
      <c r="N38"/>
      <c r="T38" s="40" t="s">
        <v>66</v>
      </c>
      <c r="U38" s="41" t="s">
        <v>62</v>
      </c>
      <c r="V38" s="42">
        <v>14</v>
      </c>
    </row>
    <row r="39" spans="1:27" x14ac:dyDescent="0.25">
      <c r="A39" s="36" t="s">
        <v>58</v>
      </c>
      <c r="B39" s="37"/>
      <c r="C39"/>
      <c r="E39" s="2"/>
      <c r="M39" s="4"/>
      <c r="N39"/>
      <c r="T39" s="40" t="s">
        <v>63</v>
      </c>
      <c r="U39" s="41" t="s">
        <v>64</v>
      </c>
      <c r="V39" s="43">
        <f>V34</f>
        <v>71.84</v>
      </c>
    </row>
    <row r="40" spans="1:27" x14ac:dyDescent="0.25">
      <c r="A40" s="36" t="s">
        <v>52</v>
      </c>
      <c r="B40" s="37"/>
      <c r="C40"/>
      <c r="E40" s="2"/>
      <c r="H40" s="2"/>
      <c r="M40" s="4"/>
      <c r="N40"/>
      <c r="T40" s="40" t="s">
        <v>65</v>
      </c>
      <c r="U40" s="41" t="s">
        <v>64</v>
      </c>
      <c r="V40" s="43">
        <f>U34</f>
        <v>54</v>
      </c>
    </row>
    <row r="41" spans="1:27" ht="15.75" thickBot="1" x14ac:dyDescent="0.3">
      <c r="C41"/>
      <c r="E41" s="2"/>
      <c r="H41" s="2"/>
      <c r="M41" s="4"/>
      <c r="N41"/>
      <c r="T41" s="44" t="s">
        <v>60</v>
      </c>
      <c r="U41" s="45"/>
      <c r="V41" s="46">
        <v>1.3440000000000001</v>
      </c>
    </row>
    <row r="42" spans="1:27" x14ac:dyDescent="0.25">
      <c r="F42" s="2"/>
      <c r="I42" s="2"/>
    </row>
    <row r="43" spans="1:27" x14ac:dyDescent="0.25">
      <c r="F43" s="2"/>
      <c r="I43" s="2"/>
    </row>
    <row r="44" spans="1:27" x14ac:dyDescent="0.25">
      <c r="A44" s="3"/>
      <c r="B44" s="3"/>
      <c r="F44" s="2"/>
      <c r="I44" s="2"/>
    </row>
    <row r="45" spans="1:27" x14ac:dyDescent="0.25">
      <c r="F45" s="2"/>
      <c r="I45" s="2"/>
    </row>
    <row r="46" spans="1:27" x14ac:dyDescent="0.25">
      <c r="F46" s="2"/>
      <c r="I46" s="2"/>
    </row>
    <row r="47" spans="1:27" x14ac:dyDescent="0.25">
      <c r="F47" s="2"/>
      <c r="I47" s="2"/>
    </row>
    <row r="48" spans="1:27" x14ac:dyDescent="0.25">
      <c r="F48" s="2"/>
      <c r="I48" s="2"/>
    </row>
    <row r="49" spans="9:9" x14ac:dyDescent="0.25">
      <c r="I49" s="2"/>
    </row>
    <row r="50" spans="9:9" x14ac:dyDescent="0.25">
      <c r="I50" s="2"/>
    </row>
    <row r="51" spans="9:9" x14ac:dyDescent="0.25">
      <c r="I51" s="2"/>
    </row>
    <row r="52" spans="9:9" x14ac:dyDescent="0.25">
      <c r="I52" s="2"/>
    </row>
    <row r="53" spans="9:9" x14ac:dyDescent="0.25">
      <c r="I53" s="2"/>
    </row>
  </sheetData>
  <mergeCells count="1">
    <mergeCell ref="A1:V1"/>
  </mergeCells>
  <phoneticPr fontId="3" type="noConversion"/>
  <printOptions horizontalCentered="1"/>
  <pageMargins left="0" right="0" top="0.74803149606299213" bottom="0.15748031496062992" header="0.31496062992125984" footer="0.31496062992125984"/>
  <pageSetup paperSize="9" scale="6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CC27E9-E45F-4706-A1E6-D49702E0FBC5}">
          <x14:formula1>
            <xm:f>Feuil1!$A$2:$A$5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BE6-D4A3-49A9-B3A5-D0FBB7689A25}">
  <dimension ref="A1:A5"/>
  <sheetViews>
    <sheetView workbookViewId="0">
      <selection activeCell="A12" sqref="A12"/>
    </sheetView>
  </sheetViews>
  <sheetFormatPr baseColWidth="10" defaultRowHeight="15" x14ac:dyDescent="0.25"/>
  <cols>
    <col min="1" max="1" width="12.85546875" customWidth="1"/>
  </cols>
  <sheetData>
    <row r="1" spans="1:1" x14ac:dyDescent="0.25">
      <c r="A1" s="65" t="s">
        <v>73</v>
      </c>
    </row>
    <row r="2" spans="1:1" x14ac:dyDescent="0.25">
      <c r="A2" s="63" t="s">
        <v>54</v>
      </c>
    </row>
    <row r="3" spans="1:1" x14ac:dyDescent="0.25">
      <c r="A3" s="61" t="s">
        <v>74</v>
      </c>
    </row>
    <row r="4" spans="1:1" x14ac:dyDescent="0.25">
      <c r="A4" s="62" t="s">
        <v>75</v>
      </c>
    </row>
    <row r="5" spans="1:1" x14ac:dyDescent="0.25">
      <c r="A5" s="64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FB493CF5D4C49A0741EC35E4C782C" ma:contentTypeVersion="0" ma:contentTypeDescription="Crée un document." ma:contentTypeScope="" ma:versionID="4b27970f16701e9c5aa8a6ed8a86530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f359f8ee5a19e0806de7ff9df60a2f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A682E-011F-4C7E-8911-54446B832294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274B3C-4710-4DCB-ADCA-13EEAEFE3C5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C958B55-1D82-44F2-8E2C-1D9E0B299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EF130C66-40AB-4D1F-9751-E95EA40B5B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Tableau1</vt:lpstr>
      <vt:lpstr>STANDARD PKL H26</vt:lpstr>
      <vt:lpstr>Feuil1</vt:lpstr>
      <vt:lpstr>'STANDARD PKL H26'!Área_de_impresión</vt:lpstr>
      <vt:lpstr>'STANDARD PKL H26'!Títulos_a_imprimir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2026-07-10T10:01:47Z</cp:lastPrinted>
  <dcterms:created xsi:type="dcterms:W3CDTF">2022-06-17T13:49:27Z</dcterms:created>
  <dcterms:modified xsi:type="dcterms:W3CDTF">2026-07-10T10:04:18Z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0x010100AF8FB493CF5D4C49A0741EC35E4C782C</vt:lpwstr>
  </property>
</Properties>
</file>