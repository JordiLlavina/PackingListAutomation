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H26\"/>
    </mc:Choice>
  </mc:AlternateContent>
  <xr:revisionPtr revIDLastSave="0" documentId="13_ncr:1_{305BF57F-648D-4241-846E-A978730795C0}" xr6:coauthVersionLast="47" xr6:coauthVersionMax="47" xr10:uidLastSave="{00000000-0000-0000-0000-000000000000}"/>
  <bookViews>
    <workbookView xWindow="28680" yWindow="-120" windowWidth="29040" windowHeight="15720" activeTab="1" xr2:uid="{B1679EB9-36E5-466F-9AF4-B2166BC65E01}"/>
  </bookViews>
  <sheets>
    <sheet name="BOLSITAS ANTIHUMEDAD" sheetId="4" r:id="rId1"/>
    <sheet name="EAN H26" sheetId="1" r:id="rId2"/>
    <sheet name="UBL209.AL0222" sheetId="5" r:id="rId3"/>
  </sheets>
  <definedNames>
    <definedName name="_xlnm._FilterDatabase" localSheetId="0" hidden="1">'BOLSITAS ANTIHUMEDAD'!$A$49:$G$49</definedName>
    <definedName name="_xlnm._FilterDatabase" localSheetId="1" hidden="1">'EAN H26'!$A$1:$J$152</definedName>
    <definedName name="_xlnm._FilterDatabase" localSheetId="2" hidden="1">'UBL209.AL0222'!$A$1:$J$152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1" i="5" l="1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2" i="1"/>
  <c r="H72" i="4"/>
  <c r="H32" i="4"/>
  <c r="H46" i="4"/>
</calcChain>
</file>

<file path=xl/sharedStrings.xml><?xml version="1.0" encoding="utf-8"?>
<sst xmlns="http://schemas.openxmlformats.org/spreadsheetml/2006/main" count="2676" uniqueCount="334">
  <si>
    <t>PO</t>
  </si>
  <si>
    <t>ARTICLE</t>
  </si>
  <si>
    <t>COLORIS</t>
  </si>
  <si>
    <t>TAILLE</t>
  </si>
  <si>
    <t>EAN13</t>
  </si>
  <si>
    <t>EAN128</t>
  </si>
  <si>
    <t>USL738.AL0137</t>
  </si>
  <si>
    <t>A236</t>
  </si>
  <si>
    <t>U</t>
  </si>
  <si>
    <t>3666598897476</t>
  </si>
  <si>
    <t>001</t>
  </si>
  <si>
    <t>3666598897469</t>
  </si>
  <si>
    <t>USL737.AL0137</t>
  </si>
  <si>
    <t>3666598897445</t>
  </si>
  <si>
    <t>3666598897452</t>
  </si>
  <si>
    <t>ULL754.AL0218</t>
  </si>
  <si>
    <t>A328</t>
  </si>
  <si>
    <t>3667549019770</t>
  </si>
  <si>
    <t>ULL754.AL0137</t>
  </si>
  <si>
    <t>3666598895335</t>
  </si>
  <si>
    <t>3666598895342</t>
  </si>
  <si>
    <t>UBL214.AL0223</t>
  </si>
  <si>
    <t>2221</t>
  </si>
  <si>
    <t>75</t>
  </si>
  <si>
    <t>3667549019275</t>
  </si>
  <si>
    <t>85</t>
  </si>
  <si>
    <t>3667549019299</t>
  </si>
  <si>
    <t>95</t>
  </si>
  <si>
    <t>3667549019312</t>
  </si>
  <si>
    <t>105</t>
  </si>
  <si>
    <t>3667549019336</t>
  </si>
  <si>
    <t>3666598891115</t>
  </si>
  <si>
    <t>3666598891139</t>
  </si>
  <si>
    <t>3666598891153</t>
  </si>
  <si>
    <t>3666598891177</t>
  </si>
  <si>
    <t>ULL712.AL0103</t>
  </si>
  <si>
    <t>3666598647675</t>
  </si>
  <si>
    <t>UBL205.AL0140</t>
  </si>
  <si>
    <t>0014</t>
  </si>
  <si>
    <t>3666598633067</t>
  </si>
  <si>
    <t>3666598633081</t>
  </si>
  <si>
    <t>3666598633104</t>
  </si>
  <si>
    <t>3666598633128</t>
  </si>
  <si>
    <t>ULL737.AL0137</t>
  </si>
  <si>
    <t>3666598733231</t>
  </si>
  <si>
    <t>3666598886180</t>
  </si>
  <si>
    <t>ULL729.AL0103</t>
  </si>
  <si>
    <t>718</t>
  </si>
  <si>
    <t>3666598886128</t>
  </si>
  <si>
    <t>3666598733071</t>
  </si>
  <si>
    <t>ULL027.AL0103</t>
  </si>
  <si>
    <t>3666598550098</t>
  </si>
  <si>
    <t>3666598886005</t>
  </si>
  <si>
    <t>UBL029.AL0104</t>
  </si>
  <si>
    <t>0015</t>
  </si>
  <si>
    <t>3666598544004</t>
  </si>
  <si>
    <t>3666598544028</t>
  </si>
  <si>
    <t>3666598544042</t>
  </si>
  <si>
    <t>3666598544066</t>
  </si>
  <si>
    <t>3666598543892</t>
  </si>
  <si>
    <t>3666598543915</t>
  </si>
  <si>
    <t>3666598543939</t>
  </si>
  <si>
    <t>3666598543953</t>
  </si>
  <si>
    <t>ULL163.AL0052</t>
  </si>
  <si>
    <t>221</t>
  </si>
  <si>
    <t>3666598354771</t>
  </si>
  <si>
    <t>USL728.AL0217</t>
  </si>
  <si>
    <t>3666598897148</t>
  </si>
  <si>
    <t>3666598897124</t>
  </si>
  <si>
    <t>A184</t>
  </si>
  <si>
    <t>3666598897131</t>
  </si>
  <si>
    <t>ULL745.AL0103</t>
  </si>
  <si>
    <t>3666598894994</t>
  </si>
  <si>
    <t>ULL744.AL0103</t>
  </si>
  <si>
    <t>3666598894970</t>
  </si>
  <si>
    <t>ULL729.AL0216</t>
  </si>
  <si>
    <t>3666598894871</t>
  </si>
  <si>
    <t>A237</t>
  </si>
  <si>
    <t>3666598886012</t>
  </si>
  <si>
    <t>USL201.AL0052</t>
  </si>
  <si>
    <t>3666598323548</t>
  </si>
  <si>
    <t>3666598355211</t>
  </si>
  <si>
    <t>3666598313495</t>
  </si>
  <si>
    <t>ULL754.AL0219</t>
  </si>
  <si>
    <t>3666598895380</t>
  </si>
  <si>
    <t>ULL754.AL0206</t>
  </si>
  <si>
    <t>255</t>
  </si>
  <si>
    <t>3667549019763</t>
  </si>
  <si>
    <t>3666598895366</t>
  </si>
  <si>
    <t>3666598894987</t>
  </si>
  <si>
    <t>ULL737.AL0206</t>
  </si>
  <si>
    <t>3666598894949</t>
  </si>
  <si>
    <t>3667549019725</t>
  </si>
  <si>
    <t>3666598894864</t>
  </si>
  <si>
    <t>ULL027.AL0216</t>
  </si>
  <si>
    <t>3666598894604</t>
  </si>
  <si>
    <t>3666598894598</t>
  </si>
  <si>
    <t>UBL209.AL0222</t>
  </si>
  <si>
    <t>3666598890484</t>
  </si>
  <si>
    <t>3666598890507</t>
  </si>
  <si>
    <t>3666598890521</t>
  </si>
  <si>
    <t>3666598890545</t>
  </si>
  <si>
    <t>3666598890590</t>
  </si>
  <si>
    <t>3666598890613</t>
  </si>
  <si>
    <t>3666598890637</t>
  </si>
  <si>
    <t>3666598890651</t>
  </si>
  <si>
    <t>UBL209.AL0209</t>
  </si>
  <si>
    <t>201</t>
  </si>
  <si>
    <t>3666598890262</t>
  </si>
  <si>
    <t>3666598890286</t>
  </si>
  <si>
    <t>3666598890309</t>
  </si>
  <si>
    <t>3666598890323</t>
  </si>
  <si>
    <t>UBL029.AL0216</t>
  </si>
  <si>
    <t>3666598890156</t>
  </si>
  <si>
    <t>3666598890170</t>
  </si>
  <si>
    <t>3666598890194</t>
  </si>
  <si>
    <t>3666598890217</t>
  </si>
  <si>
    <t>3666598890040</t>
  </si>
  <si>
    <t>3666598890064</t>
  </si>
  <si>
    <t>3666598890088</t>
  </si>
  <si>
    <t>3666598890101</t>
  </si>
  <si>
    <t>3666598886463</t>
  </si>
  <si>
    <t>3666598886227</t>
  </si>
  <si>
    <t>3666598886241</t>
  </si>
  <si>
    <t>3666598886265</t>
  </si>
  <si>
    <t>3666598886289</t>
  </si>
  <si>
    <t>USL720.AL0137</t>
  </si>
  <si>
    <t>3666598737208</t>
  </si>
  <si>
    <t>3666598886197</t>
  </si>
  <si>
    <t>3666598886135</t>
  </si>
  <si>
    <t>225</t>
  </si>
  <si>
    <t>3666598902811</t>
  </si>
  <si>
    <t>3666598902835</t>
  </si>
  <si>
    <t>3666598902859</t>
  </si>
  <si>
    <t>3666598902873</t>
  </si>
  <si>
    <t>366659889747600001000077140000000000000000MA</t>
  </si>
  <si>
    <t>366659889746900001000077140000000000000000MA</t>
  </si>
  <si>
    <t>366659889744500001000077130000000000000000MA</t>
  </si>
  <si>
    <t>366659889745200001000077130000000000000000MA</t>
  </si>
  <si>
    <t>366754901977000001000077120000000000000000MA</t>
  </si>
  <si>
    <t>366659889533500001000077110000000000000000MA</t>
  </si>
  <si>
    <t>366659889534200001000077110000000000000000MA</t>
  </si>
  <si>
    <t>366754901927500001000077100000000000000000ES</t>
  </si>
  <si>
    <t>366754901929900001000077100000000000000000ES</t>
  </si>
  <si>
    <t>366754901931200001000077100000000000000000ES</t>
  </si>
  <si>
    <t>366754901933600001000077100000000000000000ES</t>
  </si>
  <si>
    <t>366659889111500001000077100000000000000000ES</t>
  </si>
  <si>
    <t>366659889113900001000077100000000000000000ES</t>
  </si>
  <si>
    <t>366659889115300001000077100000000000000000ES</t>
  </si>
  <si>
    <t>366659889117700001000077100000000000000000ES</t>
  </si>
  <si>
    <t>366659864767500001000077090000000000000000ES</t>
  </si>
  <si>
    <t>366659863306700001000077080000000000000000ES</t>
  </si>
  <si>
    <t>366659863308100001000077080000000000000000ES</t>
  </si>
  <si>
    <t>366659863310400001000077080000000000000000ES</t>
  </si>
  <si>
    <t>366659863312800001000077080000000000000000ES</t>
  </si>
  <si>
    <t>366659873323100001000077070000000000000000MA</t>
  </si>
  <si>
    <t>366659888618000001000077070000000000000000MA</t>
  </si>
  <si>
    <t>366659888612800001000077060000000000000000ES</t>
  </si>
  <si>
    <t>366659873307100001000077060000000000000000ES</t>
  </si>
  <si>
    <t>366659855009800001000077050000000000000000ES</t>
  </si>
  <si>
    <t>366659888600500001000077050000000000000000ES</t>
  </si>
  <si>
    <t>366659854400400001000077040000000000000000ES</t>
  </si>
  <si>
    <t>366659854402800001000077040000000000000000ES</t>
  </si>
  <si>
    <t>366659854404200001000077040000000000000000ES</t>
  </si>
  <si>
    <t>366659854406600001000077040000000000000000ES</t>
  </si>
  <si>
    <t>366659854389200001000077040000000000000000ES</t>
  </si>
  <si>
    <t>366659854391500001000077040000000000000000ES</t>
  </si>
  <si>
    <t>366659854393900001000077040000000000000000ES</t>
  </si>
  <si>
    <t>366659854395300001000077040000000000000000ES</t>
  </si>
  <si>
    <t>366659835477100001000077030000000000000000MA</t>
  </si>
  <si>
    <t>366659889746900001000077020000000000000000MA</t>
  </si>
  <si>
    <t>366659889745200001000077010000000000000000MA</t>
  </si>
  <si>
    <t>366659889744500001000077010000000000000000MA</t>
  </si>
  <si>
    <t>366659889714800001000077000000000000000000ES</t>
  </si>
  <si>
    <t>366659889712400001000077000000000000000000ES</t>
  </si>
  <si>
    <t>366659889713100001000077000000000000000000ES</t>
  </si>
  <si>
    <t>366754901977000001000076990000000000000000MA</t>
  </si>
  <si>
    <t>366659889534200001000076980000000000000000MA</t>
  </si>
  <si>
    <t>366659889533500001000076980000000000000000MA</t>
  </si>
  <si>
    <t>366659889499400001000076970000000000000000ES</t>
  </si>
  <si>
    <t>366659889497000001000076960000000000000000ES</t>
  </si>
  <si>
    <t>366659889487100001000076950000000000000000ES</t>
  </si>
  <si>
    <t>366659889111500001000076940000000000000000ES</t>
  </si>
  <si>
    <t>366659889113900001000076940000000000000000ES</t>
  </si>
  <si>
    <t>366659863306700001000076930000000000000000ES</t>
  </si>
  <si>
    <t>366659863308100001000076930000000000000000ES</t>
  </si>
  <si>
    <t>366659863310400001000076930000000000000000ES</t>
  </si>
  <si>
    <t>366659888612800001000076920000000000000000ES</t>
  </si>
  <si>
    <t>366659888601200001000076910000000000000000ES</t>
  </si>
  <si>
    <t>366659888600500001000076910000000000000000ES</t>
  </si>
  <si>
    <t>366659854389200001000076900000000000000000ES</t>
  </si>
  <si>
    <t>366659854391500001000076900000000000000000ES</t>
  </si>
  <si>
    <t>366659854393900001000076900000000000000000ES</t>
  </si>
  <si>
    <t>366659854400400001000076900000000000000000ES</t>
  </si>
  <si>
    <t>366659854402800001000076900000000000000000ES</t>
  </si>
  <si>
    <t>366659854404200001000076900000000000000000ES</t>
  </si>
  <si>
    <t>366659832354800001000076890000000000000000MA</t>
  </si>
  <si>
    <t>366659835521100001000076890000000000000000MA</t>
  </si>
  <si>
    <t>366659831349500001000076880000000000000000MA</t>
  </si>
  <si>
    <t>366659835477100001000076880000000000000000MA</t>
  </si>
  <si>
    <t>366659889747600001000076870000000000000000MA</t>
  </si>
  <si>
    <t>366659889746900001000076870000000000000000MA</t>
  </si>
  <si>
    <t>366659889745200001000076860000000000000000MA</t>
  </si>
  <si>
    <t>366659889744500001000076860000000000000000MA</t>
  </si>
  <si>
    <t>366659889713100001000076850000000000000000ES</t>
  </si>
  <si>
    <t>366659889714800001000076850000000000000000ES</t>
  </si>
  <si>
    <t>366659889712400001000076850000000000000000ES</t>
  </si>
  <si>
    <t>366659889538000001000076840000000000000000MA</t>
  </si>
  <si>
    <t>366754901977000001000076830000000000000000MA</t>
  </si>
  <si>
    <t>366754901976300001000076820000000000000000MA</t>
  </si>
  <si>
    <t>366659889536600001000076820000000000000000MA</t>
  </si>
  <si>
    <t>366659889534200001000076810000000000000000MA</t>
  </si>
  <si>
    <t>366659889533500001000076810000000000000000MA</t>
  </si>
  <si>
    <t>366659889499400001000076800000000000000000ES</t>
  </si>
  <si>
    <t>366659889497000001000076790000000000000000ES</t>
  </si>
  <si>
    <t>366659889498700001000076790000000000000000ES</t>
  </si>
  <si>
    <t>366659889494900001000076780000000000000000MA</t>
  </si>
  <si>
    <t>366754901972500001000076780000000000000000MA</t>
  </si>
  <si>
    <t>366659889486400001000076770000000000000000ES</t>
  </si>
  <si>
    <t>366659889487100001000076770000000000000000ES</t>
  </si>
  <si>
    <t>366659889460400001000076760000000000000000ES</t>
  </si>
  <si>
    <t>366659889459800001000076760000000000000000ES</t>
  </si>
  <si>
    <t>366754901927500001000076750000000000000000ES</t>
  </si>
  <si>
    <t>366754901929900001000076750000000000000000ES</t>
  </si>
  <si>
    <t>366754901931200001000076750000000000000000ES</t>
  </si>
  <si>
    <t>366754901933600001000076750000000000000000ES</t>
  </si>
  <si>
    <t>366659889111500001000076750000000000000000ES</t>
  </si>
  <si>
    <t>366659889113900001000076750000000000000000ES</t>
  </si>
  <si>
    <t>366659889115300001000076750000000000000000ES</t>
  </si>
  <si>
    <t>366659889117700001000076750000000000000000ES</t>
  </si>
  <si>
    <t>366659889048400001000076740000000000000000ES</t>
  </si>
  <si>
    <t>366659889050700001000076740000000000000000ES</t>
  </si>
  <si>
    <t>366659889052100001000076740000000000000000ES</t>
  </si>
  <si>
    <t>366659889054500001000076740000000000000000ES</t>
  </si>
  <si>
    <t>366659889059000001000076740000000000000000ES</t>
  </si>
  <si>
    <t>366659889061300001000076740000000000000000ES</t>
  </si>
  <si>
    <t>366659889063700001000076740000000000000000ES</t>
  </si>
  <si>
    <t>366659889065100001000076740000000000000000ES</t>
  </si>
  <si>
    <t>366659889026200001000076730000000000000000ES</t>
  </si>
  <si>
    <t>366659889028600001000076730000000000000000ES</t>
  </si>
  <si>
    <t>366659889030900001000076730000000000000000ES</t>
  </si>
  <si>
    <t>366659889032300001000076730000000000000000ES</t>
  </si>
  <si>
    <t>366659889015600001000076720000000000000000ES</t>
  </si>
  <si>
    <t>366659889017000001000076720000000000000000ES</t>
  </si>
  <si>
    <t>366659889019400001000076720000000000000000ES</t>
  </si>
  <si>
    <t>366659889021700001000076720000000000000000ES</t>
  </si>
  <si>
    <t>366659889004000001000076720000000000000000ES</t>
  </si>
  <si>
    <t>366659889006400001000076720000000000000000ES</t>
  </si>
  <si>
    <t>366659889008800001000076720000000000000000ES</t>
  </si>
  <si>
    <t>366659889010100001000076720000000000000000ES</t>
  </si>
  <si>
    <t>366659888646300001000076710000000000000000ES</t>
  </si>
  <si>
    <t>366659864767500001000076710000000000000000ES</t>
  </si>
  <si>
    <t>366659863306700001000076700000000000000000ES</t>
  </si>
  <si>
    <t>366659863308100001000076700000000000000000ES</t>
  </si>
  <si>
    <t>366659863310400001000076700000000000000000ES</t>
  </si>
  <si>
    <t>366659863312800001000076700000000000000000ES</t>
  </si>
  <si>
    <t>366659888622700001000076700000000000000000ES</t>
  </si>
  <si>
    <t>366659888624100001000076700000000000000000ES</t>
  </si>
  <si>
    <t>366659888626500001000076700000000000000000ES</t>
  </si>
  <si>
    <t>366659888628900001000076700000000000000000ES</t>
  </si>
  <si>
    <t>366659873720800001000076690000000000000000MA</t>
  </si>
  <si>
    <t>366659888619700001000076690000000000000000MA</t>
  </si>
  <si>
    <t>366659873323100001000076680000000000000000MA</t>
  </si>
  <si>
    <t>366659888618000001000076680000000000000000MA</t>
  </si>
  <si>
    <t>366659873307100001000076670000000000000000ES</t>
  </si>
  <si>
    <t>366659888612800001000076670000000000000000ES</t>
  </si>
  <si>
    <t>366659888613500001000076670000000000000000ES</t>
  </si>
  <si>
    <t>366659888601200001000076660000000000000000ES</t>
  </si>
  <si>
    <t>366659855009800001000076660000000000000000ES</t>
  </si>
  <si>
    <t>366659888600500001000076660000000000000000ES</t>
  </si>
  <si>
    <t>366659854389200001000076650000000000000000ES</t>
  </si>
  <si>
    <t>366659854391500001000076650000000000000000ES</t>
  </si>
  <si>
    <t>366659854393900001000076650000000000000000ES</t>
  </si>
  <si>
    <t>366659854395300001000076650000000000000000ES</t>
  </si>
  <si>
    <t>366659854400400001000076650000000000000000ES</t>
  </si>
  <si>
    <t>366659854402800001000076650000000000000000ES</t>
  </si>
  <si>
    <t>366659854404200001000076650000000000000000ES</t>
  </si>
  <si>
    <t>366659854406600001000076650000000000000000ES</t>
  </si>
  <si>
    <t>366659890281100001000076650000000000000000ES</t>
  </si>
  <si>
    <t>366659890283500001000076650000000000000000ES</t>
  </si>
  <si>
    <t>366659890285900001000076650000000000000000ES</t>
  </si>
  <si>
    <t>366659890287300001000076650000000000000000ES</t>
  </si>
  <si>
    <t>366659835521100001000076640000000000000000MA</t>
  </si>
  <si>
    <t>366659832354800001000076640000000000000000MA</t>
  </si>
  <si>
    <t>366659835477100001000076630000000000000000MA</t>
  </si>
  <si>
    <t>366659831349500001000076630000000000000000MA</t>
  </si>
  <si>
    <t>Made in</t>
  </si>
  <si>
    <t>Libellé coloris</t>
  </si>
  <si>
    <t>Commandé</t>
  </si>
  <si>
    <t>MOROCCO</t>
  </si>
  <si>
    <t>SPAIN</t>
  </si>
  <si>
    <t>NOIR/ARGENT VIBRE</t>
  </si>
  <si>
    <t>NOIR/LAITON VIBRE</t>
  </si>
  <si>
    <t>07704 CH</t>
  </si>
  <si>
    <t>07690 JP</t>
  </si>
  <si>
    <t>CHOCOLATE/LAITON VIBRE</t>
  </si>
  <si>
    <t>BLACK</t>
  </si>
  <si>
    <t>CHOCOLATE BROWN</t>
  </si>
  <si>
    <t>07708 CH</t>
  </si>
  <si>
    <t>07693 JP</t>
  </si>
  <si>
    <t>COGNAC</t>
  </si>
  <si>
    <t>07710 CH</t>
  </si>
  <si>
    <t>07694 JP</t>
  </si>
  <si>
    <t>VANILLA CREAM</t>
  </si>
  <si>
    <t>07705 CH</t>
  </si>
  <si>
    <t>07691 JP</t>
  </si>
  <si>
    <t>MOCHA</t>
  </si>
  <si>
    <t>07709 CH</t>
  </si>
  <si>
    <t>07706 CH</t>
  </si>
  <si>
    <t>07692 JP</t>
  </si>
  <si>
    <t>07695 JP</t>
  </si>
  <si>
    <t>07696 JP</t>
  </si>
  <si>
    <t>07697 JP</t>
  </si>
  <si>
    <t>DARK COFFEE</t>
  </si>
  <si>
    <t>07688 JP</t>
  </si>
  <si>
    <t>07703 CH</t>
  </si>
  <si>
    <t>TRUFFLE</t>
  </si>
  <si>
    <t>07707 CH</t>
  </si>
  <si>
    <t>07698 JP</t>
  </si>
  <si>
    <t>07711 CH</t>
  </si>
  <si>
    <t>SAND</t>
  </si>
  <si>
    <t>SAND/CHOCOLATE BROWN</t>
  </si>
  <si>
    <t>07699 JP</t>
  </si>
  <si>
    <t>07712 CH</t>
  </si>
  <si>
    <t>07689 JP</t>
  </si>
  <si>
    <t>MASTIC BEIGE</t>
  </si>
  <si>
    <t>07700 JP</t>
  </si>
  <si>
    <t>07701 JP</t>
  </si>
  <si>
    <t>07713 CH</t>
  </si>
  <si>
    <t>07702 JP</t>
  </si>
  <si>
    <t>07714 CH</t>
  </si>
  <si>
    <t>CINTURONES</t>
  </si>
  <si>
    <t>LAPLANA</t>
  </si>
  <si>
    <t>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</si>
</sst>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/>
    <xf numFmtId="0" fontId="3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E3C5B046-1D3F-4356-B975-ED326ADA5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5B4B-9467-43BE-8418-32D90E60A95B}">
  <dimension ref="A1:I72"/>
  <sheetViews>
    <sheetView topLeftCell="A28" workbookViewId="0">
      <selection activeCell="J62" sqref="J62"/>
    </sheetView>
  </sheetViews>
  <sheetFormatPr baseColWidth="10" defaultColWidth="11.42578125" defaultRowHeight="15" x14ac:dyDescent="0.25"/>
  <cols>
    <col min="2" max="2" width="19" customWidth="1"/>
    <col min="4" max="4" width="23.140625" customWidth="1"/>
  </cols>
  <sheetData>
    <row r="1" spans="1:7" x14ac:dyDescent="0.25">
      <c r="A1" s="1" t="s">
        <v>286</v>
      </c>
      <c r="B1" s="1" t="s">
        <v>1</v>
      </c>
      <c r="C1" s="1" t="s">
        <v>2</v>
      </c>
      <c r="D1" s="4" t="s">
        <v>287</v>
      </c>
      <c r="E1" s="1" t="s">
        <v>3</v>
      </c>
      <c r="F1" s="1" t="s">
        <v>0</v>
      </c>
      <c r="G1" s="4" t="s">
        <v>288</v>
      </c>
    </row>
    <row r="2" spans="1:7" x14ac:dyDescent="0.25">
      <c r="A2" s="2" t="s">
        <v>290</v>
      </c>
      <c r="B2" s="3" t="s">
        <v>53</v>
      </c>
      <c r="C2" s="3" t="s">
        <v>38</v>
      </c>
      <c r="D2" s="5" t="s">
        <v>291</v>
      </c>
      <c r="E2" s="3" t="s">
        <v>23</v>
      </c>
      <c r="F2" s="2" t="s">
        <v>293</v>
      </c>
      <c r="G2" s="3">
        <v>13</v>
      </c>
    </row>
    <row r="3" spans="1:7" x14ac:dyDescent="0.25">
      <c r="A3" s="2" t="s">
        <v>290</v>
      </c>
      <c r="B3" s="3" t="s">
        <v>53</v>
      </c>
      <c r="C3" s="3" t="s">
        <v>38</v>
      </c>
      <c r="D3" s="5" t="s">
        <v>291</v>
      </c>
      <c r="E3" s="3" t="s">
        <v>25</v>
      </c>
      <c r="F3" s="2" t="s">
        <v>293</v>
      </c>
      <c r="G3" s="3">
        <v>12</v>
      </c>
    </row>
    <row r="4" spans="1:7" x14ac:dyDescent="0.25">
      <c r="A4" s="2" t="s">
        <v>290</v>
      </c>
      <c r="B4" s="3" t="s">
        <v>53</v>
      </c>
      <c r="C4" s="3" t="s">
        <v>38</v>
      </c>
      <c r="D4" s="5" t="s">
        <v>291</v>
      </c>
      <c r="E4" s="3" t="s">
        <v>27</v>
      </c>
      <c r="F4" s="2" t="s">
        <v>293</v>
      </c>
      <c r="G4" s="3">
        <v>6</v>
      </c>
    </row>
    <row r="5" spans="1:7" x14ac:dyDescent="0.25">
      <c r="A5" s="2" t="s">
        <v>290</v>
      </c>
      <c r="B5" s="3" t="s">
        <v>53</v>
      </c>
      <c r="C5" s="3" t="s">
        <v>38</v>
      </c>
      <c r="D5" s="5" t="s">
        <v>291</v>
      </c>
      <c r="E5" s="3" t="s">
        <v>29</v>
      </c>
      <c r="F5" s="2" t="s">
        <v>293</v>
      </c>
      <c r="G5" s="3">
        <v>2</v>
      </c>
    </row>
    <row r="6" spans="1:7" x14ac:dyDescent="0.25">
      <c r="A6" s="2" t="s">
        <v>290</v>
      </c>
      <c r="B6" s="3" t="s">
        <v>53</v>
      </c>
      <c r="C6" s="3" t="s">
        <v>38</v>
      </c>
      <c r="D6" s="5" t="s">
        <v>291</v>
      </c>
      <c r="E6" s="3" t="s">
        <v>23</v>
      </c>
      <c r="F6" s="2" t="s">
        <v>294</v>
      </c>
      <c r="G6" s="3">
        <v>40</v>
      </c>
    </row>
    <row r="7" spans="1:7" x14ac:dyDescent="0.25">
      <c r="A7" s="2" t="s">
        <v>290</v>
      </c>
      <c r="B7" s="3" t="s">
        <v>53</v>
      </c>
      <c r="C7" s="3" t="s">
        <v>38</v>
      </c>
      <c r="D7" s="5" t="s">
        <v>291</v>
      </c>
      <c r="E7" s="3" t="s">
        <v>25</v>
      </c>
      <c r="F7" s="2" t="s">
        <v>294</v>
      </c>
      <c r="G7" s="3">
        <v>40</v>
      </c>
    </row>
    <row r="8" spans="1:7" x14ac:dyDescent="0.25">
      <c r="A8" s="2" t="s">
        <v>290</v>
      </c>
      <c r="B8" s="3" t="s">
        <v>53</v>
      </c>
      <c r="C8" s="3" t="s">
        <v>38</v>
      </c>
      <c r="D8" s="5" t="s">
        <v>291</v>
      </c>
      <c r="E8" s="3" t="s">
        <v>27</v>
      </c>
      <c r="F8" s="2" t="s">
        <v>294</v>
      </c>
      <c r="G8" s="3">
        <v>20</v>
      </c>
    </row>
    <row r="9" spans="1:7" x14ac:dyDescent="0.25">
      <c r="A9" s="2" t="s">
        <v>290</v>
      </c>
      <c r="B9" s="3" t="s">
        <v>53</v>
      </c>
      <c r="C9" s="3" t="s">
        <v>54</v>
      </c>
      <c r="D9" s="2" t="s">
        <v>292</v>
      </c>
      <c r="E9" s="3" t="s">
        <v>23</v>
      </c>
      <c r="F9" s="2" t="s">
        <v>293</v>
      </c>
      <c r="G9" s="3">
        <v>29</v>
      </c>
    </row>
    <row r="10" spans="1:7" x14ac:dyDescent="0.25">
      <c r="A10" s="2" t="s">
        <v>290</v>
      </c>
      <c r="B10" s="3" t="s">
        <v>53</v>
      </c>
      <c r="C10" s="3" t="s">
        <v>54</v>
      </c>
      <c r="D10" s="2" t="s">
        <v>292</v>
      </c>
      <c r="E10" s="3" t="s">
        <v>25</v>
      </c>
      <c r="F10" s="2" t="s">
        <v>293</v>
      </c>
      <c r="G10" s="3">
        <v>26</v>
      </c>
    </row>
    <row r="11" spans="1:7" x14ac:dyDescent="0.25">
      <c r="A11" s="2" t="s">
        <v>290</v>
      </c>
      <c r="B11" s="3" t="s">
        <v>53</v>
      </c>
      <c r="C11" s="3" t="s">
        <v>54</v>
      </c>
      <c r="D11" s="2" t="s">
        <v>292</v>
      </c>
      <c r="E11" s="3" t="s">
        <v>27</v>
      </c>
      <c r="F11" s="2" t="s">
        <v>293</v>
      </c>
      <c r="G11" s="3">
        <v>11</v>
      </c>
    </row>
    <row r="12" spans="1:7" x14ac:dyDescent="0.25">
      <c r="A12" s="2" t="s">
        <v>290</v>
      </c>
      <c r="B12" s="3" t="s">
        <v>53</v>
      </c>
      <c r="C12" s="3" t="s">
        <v>54</v>
      </c>
      <c r="D12" s="2" t="s">
        <v>292</v>
      </c>
      <c r="E12" s="3" t="s">
        <v>29</v>
      </c>
      <c r="F12" s="2" t="s">
        <v>293</v>
      </c>
      <c r="G12" s="3">
        <v>4</v>
      </c>
    </row>
    <row r="13" spans="1:7" x14ac:dyDescent="0.25">
      <c r="A13" s="2" t="s">
        <v>290</v>
      </c>
      <c r="B13" s="3" t="s">
        <v>53</v>
      </c>
      <c r="C13" s="3" t="s">
        <v>54</v>
      </c>
      <c r="D13" s="2" t="s">
        <v>292</v>
      </c>
      <c r="E13" s="3" t="s">
        <v>23</v>
      </c>
      <c r="F13" s="2" t="s">
        <v>294</v>
      </c>
      <c r="G13" s="3">
        <v>65</v>
      </c>
    </row>
    <row r="14" spans="1:7" x14ac:dyDescent="0.25">
      <c r="A14" s="2" t="s">
        <v>290</v>
      </c>
      <c r="B14" s="3" t="s">
        <v>53</v>
      </c>
      <c r="C14" s="3" t="s">
        <v>54</v>
      </c>
      <c r="D14" s="2" t="s">
        <v>292</v>
      </c>
      <c r="E14" s="3" t="s">
        <v>25</v>
      </c>
      <c r="F14" s="2" t="s">
        <v>294</v>
      </c>
      <c r="G14" s="3">
        <v>70</v>
      </c>
    </row>
    <row r="15" spans="1:7" x14ac:dyDescent="0.25">
      <c r="A15" s="2" t="s">
        <v>290</v>
      </c>
      <c r="B15" s="3" t="s">
        <v>53</v>
      </c>
      <c r="C15" s="3" t="s">
        <v>54</v>
      </c>
      <c r="D15" s="2" t="s">
        <v>292</v>
      </c>
      <c r="E15" s="3" t="s">
        <v>27</v>
      </c>
      <c r="F15" s="2" t="s">
        <v>294</v>
      </c>
      <c r="G15" s="3">
        <v>40</v>
      </c>
    </row>
    <row r="16" spans="1:7" x14ac:dyDescent="0.25">
      <c r="A16" s="2" t="s">
        <v>290</v>
      </c>
      <c r="B16" s="3" t="s">
        <v>37</v>
      </c>
      <c r="C16" s="3" t="s">
        <v>38</v>
      </c>
      <c r="D16" s="5" t="s">
        <v>291</v>
      </c>
      <c r="E16" s="3" t="s">
        <v>23</v>
      </c>
      <c r="F16" s="2" t="s">
        <v>298</v>
      </c>
      <c r="G16" s="3">
        <v>7</v>
      </c>
    </row>
    <row r="17" spans="1:9" x14ac:dyDescent="0.25">
      <c r="A17" s="2" t="s">
        <v>290</v>
      </c>
      <c r="B17" s="3" t="s">
        <v>37</v>
      </c>
      <c r="C17" s="3" t="s">
        <v>38</v>
      </c>
      <c r="D17" s="5" t="s">
        <v>291</v>
      </c>
      <c r="E17" s="3" t="s">
        <v>25</v>
      </c>
      <c r="F17" s="2" t="s">
        <v>298</v>
      </c>
      <c r="G17" s="3">
        <v>8</v>
      </c>
    </row>
    <row r="18" spans="1:9" x14ac:dyDescent="0.25">
      <c r="A18" s="2" t="s">
        <v>290</v>
      </c>
      <c r="B18" s="3" t="s">
        <v>37</v>
      </c>
      <c r="C18" s="3" t="s">
        <v>38</v>
      </c>
      <c r="D18" s="5" t="s">
        <v>291</v>
      </c>
      <c r="E18" s="3" t="s">
        <v>27</v>
      </c>
      <c r="F18" s="2" t="s">
        <v>298</v>
      </c>
      <c r="G18" s="3">
        <v>4</v>
      </c>
    </row>
    <row r="19" spans="1:9" x14ac:dyDescent="0.25">
      <c r="A19" s="2" t="s">
        <v>290</v>
      </c>
      <c r="B19" s="3" t="s">
        <v>37</v>
      </c>
      <c r="C19" s="3" t="s">
        <v>38</v>
      </c>
      <c r="D19" s="5" t="s">
        <v>291</v>
      </c>
      <c r="E19" s="3" t="s">
        <v>29</v>
      </c>
      <c r="F19" s="2" t="s">
        <v>298</v>
      </c>
      <c r="G19" s="3">
        <v>2</v>
      </c>
    </row>
    <row r="20" spans="1:9" x14ac:dyDescent="0.25">
      <c r="A20" s="2" t="s">
        <v>290</v>
      </c>
      <c r="B20" s="3" t="s">
        <v>37</v>
      </c>
      <c r="C20" s="3" t="s">
        <v>38</v>
      </c>
      <c r="D20" s="5" t="s">
        <v>291</v>
      </c>
      <c r="E20" s="3" t="s">
        <v>23</v>
      </c>
      <c r="F20" s="2" t="s">
        <v>299</v>
      </c>
      <c r="G20" s="3">
        <v>58</v>
      </c>
    </row>
    <row r="21" spans="1:9" x14ac:dyDescent="0.25">
      <c r="A21" s="2" t="s">
        <v>290</v>
      </c>
      <c r="B21" s="3" t="s">
        <v>37</v>
      </c>
      <c r="C21" s="3" t="s">
        <v>38</v>
      </c>
      <c r="D21" s="5" t="s">
        <v>291</v>
      </c>
      <c r="E21" s="3" t="s">
        <v>25</v>
      </c>
      <c r="F21" s="2" t="s">
        <v>299</v>
      </c>
      <c r="G21" s="3">
        <v>50</v>
      </c>
    </row>
    <row r="22" spans="1:9" x14ac:dyDescent="0.25">
      <c r="A22" s="2" t="s">
        <v>290</v>
      </c>
      <c r="B22" s="3" t="s">
        <v>37</v>
      </c>
      <c r="C22" s="3" t="s">
        <v>38</v>
      </c>
      <c r="D22" s="5" t="s">
        <v>291</v>
      </c>
      <c r="E22" s="3" t="s">
        <v>27</v>
      </c>
      <c r="F22" s="2" t="s">
        <v>299</v>
      </c>
      <c r="G22" s="3">
        <v>15</v>
      </c>
    </row>
    <row r="23" spans="1:9" x14ac:dyDescent="0.25">
      <c r="A23" s="2" t="s">
        <v>290</v>
      </c>
      <c r="B23" s="3" t="s">
        <v>21</v>
      </c>
      <c r="C23" s="3" t="s">
        <v>10</v>
      </c>
      <c r="D23" s="2" t="s">
        <v>296</v>
      </c>
      <c r="E23" s="3" t="s">
        <v>23</v>
      </c>
      <c r="F23" s="2" t="s">
        <v>301</v>
      </c>
      <c r="G23" s="3">
        <v>21</v>
      </c>
    </row>
    <row r="24" spans="1:9" x14ac:dyDescent="0.25">
      <c r="A24" s="2" t="s">
        <v>290</v>
      </c>
      <c r="B24" s="3" t="s">
        <v>21</v>
      </c>
      <c r="C24" s="3" t="s">
        <v>10</v>
      </c>
      <c r="D24" s="2" t="s">
        <v>296</v>
      </c>
      <c r="E24" s="3" t="s">
        <v>25</v>
      </c>
      <c r="F24" s="2" t="s">
        <v>301</v>
      </c>
      <c r="G24" s="3">
        <v>18</v>
      </c>
    </row>
    <row r="25" spans="1:9" x14ac:dyDescent="0.25">
      <c r="A25" s="2" t="s">
        <v>290</v>
      </c>
      <c r="B25" s="3" t="s">
        <v>21</v>
      </c>
      <c r="C25" s="3" t="s">
        <v>10</v>
      </c>
      <c r="D25" s="2" t="s">
        <v>296</v>
      </c>
      <c r="E25" s="3" t="s">
        <v>27</v>
      </c>
      <c r="F25" s="2" t="s">
        <v>301</v>
      </c>
      <c r="G25" s="3">
        <v>8</v>
      </c>
    </row>
    <row r="26" spans="1:9" x14ac:dyDescent="0.25">
      <c r="A26" s="2" t="s">
        <v>290</v>
      </c>
      <c r="B26" s="3" t="s">
        <v>21</v>
      </c>
      <c r="C26" s="3" t="s">
        <v>10</v>
      </c>
      <c r="D26" s="2" t="s">
        <v>296</v>
      </c>
      <c r="E26" s="3" t="s">
        <v>29</v>
      </c>
      <c r="F26" s="2" t="s">
        <v>301</v>
      </c>
      <c r="G26" s="3">
        <v>3</v>
      </c>
    </row>
    <row r="27" spans="1:9" x14ac:dyDescent="0.25">
      <c r="A27" s="2" t="s">
        <v>290</v>
      </c>
      <c r="B27" s="3" t="s">
        <v>21</v>
      </c>
      <c r="C27" s="3" t="s">
        <v>10</v>
      </c>
      <c r="D27" s="2" t="s">
        <v>296</v>
      </c>
      <c r="E27" s="3" t="s">
        <v>23</v>
      </c>
      <c r="F27" s="2" t="s">
        <v>302</v>
      </c>
      <c r="G27" s="3">
        <v>14</v>
      </c>
    </row>
    <row r="28" spans="1:9" x14ac:dyDescent="0.25">
      <c r="A28" s="2" t="s">
        <v>290</v>
      </c>
      <c r="B28" s="3" t="s">
        <v>21</v>
      </c>
      <c r="C28" s="3" t="s">
        <v>10</v>
      </c>
      <c r="D28" s="2" t="s">
        <v>296</v>
      </c>
      <c r="E28" s="3" t="s">
        <v>25</v>
      </c>
      <c r="F28" s="2" t="s">
        <v>302</v>
      </c>
      <c r="G28" s="3">
        <v>6</v>
      </c>
    </row>
    <row r="29" spans="1:9" x14ac:dyDescent="0.25">
      <c r="A29" s="2" t="s">
        <v>290</v>
      </c>
      <c r="B29" s="3" t="s">
        <v>21</v>
      </c>
      <c r="C29" s="3" t="s">
        <v>22</v>
      </c>
      <c r="D29" s="2" t="s">
        <v>297</v>
      </c>
      <c r="E29" s="3" t="s">
        <v>23</v>
      </c>
      <c r="F29" s="2" t="s">
        <v>301</v>
      </c>
      <c r="G29" s="3">
        <v>9</v>
      </c>
    </row>
    <row r="30" spans="1:9" x14ac:dyDescent="0.25">
      <c r="A30" s="2" t="s">
        <v>290</v>
      </c>
      <c r="B30" s="3" t="s">
        <v>21</v>
      </c>
      <c r="C30" s="3" t="s">
        <v>22</v>
      </c>
      <c r="D30" s="2" t="s">
        <v>297</v>
      </c>
      <c r="E30" s="3" t="s">
        <v>25</v>
      </c>
      <c r="F30" s="2" t="s">
        <v>301</v>
      </c>
      <c r="G30" s="3">
        <v>10</v>
      </c>
    </row>
    <row r="31" spans="1:9" x14ac:dyDescent="0.25">
      <c r="A31" s="2" t="s">
        <v>290</v>
      </c>
      <c r="B31" s="3" t="s">
        <v>21</v>
      </c>
      <c r="C31" s="3" t="s">
        <v>22</v>
      </c>
      <c r="D31" s="2" t="s">
        <v>297</v>
      </c>
      <c r="E31" s="3" t="s">
        <v>27</v>
      </c>
      <c r="F31" s="2" t="s">
        <v>301</v>
      </c>
      <c r="G31" s="3">
        <v>5</v>
      </c>
    </row>
    <row r="32" spans="1:9" x14ac:dyDescent="0.25">
      <c r="A32" s="2" t="s">
        <v>290</v>
      </c>
      <c r="B32" s="3" t="s">
        <v>21</v>
      </c>
      <c r="C32" s="3" t="s">
        <v>22</v>
      </c>
      <c r="D32" s="2" t="s">
        <v>297</v>
      </c>
      <c r="E32" s="3" t="s">
        <v>29</v>
      </c>
      <c r="F32" s="2" t="s">
        <v>301</v>
      </c>
      <c r="G32" s="3">
        <v>2</v>
      </c>
      <c r="H32" s="11">
        <f>SUM(G2:G32)</f>
        <v>618</v>
      </c>
      <c r="I32" t="s">
        <v>331</v>
      </c>
    </row>
    <row r="33" spans="1:9" x14ac:dyDescent="0.25">
      <c r="A33" s="8"/>
      <c r="B33" s="9"/>
      <c r="C33" s="9"/>
      <c r="D33" s="8"/>
      <c r="E33" s="9"/>
      <c r="F33" s="8"/>
      <c r="G33" s="9"/>
    </row>
    <row r="34" spans="1:9" x14ac:dyDescent="0.25">
      <c r="A34" s="8"/>
      <c r="B34" s="9"/>
      <c r="C34" s="9"/>
      <c r="D34" s="8"/>
      <c r="E34" s="9"/>
      <c r="F34" s="8"/>
      <c r="G34" s="9"/>
    </row>
    <row r="35" spans="1:9" x14ac:dyDescent="0.25">
      <c r="A35" s="10" t="s">
        <v>286</v>
      </c>
      <c r="B35" s="10" t="s">
        <v>1</v>
      </c>
      <c r="C35" s="10" t="s">
        <v>2</v>
      </c>
      <c r="D35" s="4" t="s">
        <v>287</v>
      </c>
      <c r="E35" s="10" t="s">
        <v>3</v>
      </c>
      <c r="F35" s="10" t="s">
        <v>0</v>
      </c>
      <c r="G35" s="4" t="s">
        <v>288</v>
      </c>
    </row>
    <row r="36" spans="1:9" x14ac:dyDescent="0.25">
      <c r="A36" s="5" t="s">
        <v>290</v>
      </c>
      <c r="B36" s="7" t="s">
        <v>50</v>
      </c>
      <c r="C36" s="7" t="s">
        <v>10</v>
      </c>
      <c r="D36" s="7" t="s">
        <v>296</v>
      </c>
      <c r="E36" s="7" t="s">
        <v>8</v>
      </c>
      <c r="F36" s="5" t="s">
        <v>304</v>
      </c>
      <c r="G36" s="7">
        <v>7</v>
      </c>
    </row>
    <row r="37" spans="1:9" x14ac:dyDescent="0.25">
      <c r="A37" s="2" t="s">
        <v>290</v>
      </c>
      <c r="B37" s="3" t="s">
        <v>50</v>
      </c>
      <c r="C37" s="3" t="s">
        <v>47</v>
      </c>
      <c r="D37" s="3" t="s">
        <v>303</v>
      </c>
      <c r="E37" s="3" t="s">
        <v>8</v>
      </c>
      <c r="F37" s="2" t="s">
        <v>305</v>
      </c>
      <c r="G37" s="3">
        <v>7</v>
      </c>
    </row>
    <row r="38" spans="1:9" x14ac:dyDescent="0.25">
      <c r="A38" s="2" t="s">
        <v>290</v>
      </c>
      <c r="B38" s="3" t="s">
        <v>50</v>
      </c>
      <c r="C38" s="3" t="s">
        <v>47</v>
      </c>
      <c r="D38" s="3" t="s">
        <v>303</v>
      </c>
      <c r="E38" s="3" t="s">
        <v>8</v>
      </c>
      <c r="F38" s="2" t="s">
        <v>304</v>
      </c>
      <c r="G38" s="3">
        <v>24</v>
      </c>
    </row>
    <row r="39" spans="1:9" x14ac:dyDescent="0.25">
      <c r="A39" s="2" t="s">
        <v>290</v>
      </c>
      <c r="B39" s="3" t="s">
        <v>50</v>
      </c>
      <c r="C39" s="3" t="s">
        <v>77</v>
      </c>
      <c r="D39" s="3" t="s">
        <v>306</v>
      </c>
      <c r="E39" s="3" t="s">
        <v>8</v>
      </c>
      <c r="F39" s="2" t="s">
        <v>305</v>
      </c>
      <c r="G39" s="3">
        <v>30</v>
      </c>
    </row>
    <row r="40" spans="1:9" x14ac:dyDescent="0.25">
      <c r="A40" s="2" t="s">
        <v>290</v>
      </c>
      <c r="B40" s="3" t="s">
        <v>35</v>
      </c>
      <c r="C40" s="3" t="s">
        <v>10</v>
      </c>
      <c r="D40" s="3" t="s">
        <v>296</v>
      </c>
      <c r="E40" s="3" t="s">
        <v>8</v>
      </c>
      <c r="F40" s="2" t="s">
        <v>307</v>
      </c>
      <c r="G40" s="3">
        <v>17</v>
      </c>
    </row>
    <row r="41" spans="1:9" x14ac:dyDescent="0.25">
      <c r="A41" s="2" t="s">
        <v>290</v>
      </c>
      <c r="B41" s="3" t="s">
        <v>46</v>
      </c>
      <c r="C41" s="3" t="s">
        <v>10</v>
      </c>
      <c r="D41" s="3" t="s">
        <v>296</v>
      </c>
      <c r="E41" s="3" t="s">
        <v>8</v>
      </c>
      <c r="F41" s="2" t="s">
        <v>308</v>
      </c>
      <c r="G41" s="3">
        <v>24</v>
      </c>
    </row>
    <row r="42" spans="1:9" x14ac:dyDescent="0.25">
      <c r="A42" s="2" t="s">
        <v>290</v>
      </c>
      <c r="B42" s="3" t="s">
        <v>46</v>
      </c>
      <c r="C42" s="3" t="s">
        <v>47</v>
      </c>
      <c r="D42" s="3" t="s">
        <v>303</v>
      </c>
      <c r="E42" s="3" t="s">
        <v>8</v>
      </c>
      <c r="F42" s="2" t="s">
        <v>308</v>
      </c>
      <c r="G42" s="3">
        <v>24</v>
      </c>
    </row>
    <row r="43" spans="1:9" x14ac:dyDescent="0.25">
      <c r="A43" s="2" t="s">
        <v>290</v>
      </c>
      <c r="B43" s="3" t="s">
        <v>46</v>
      </c>
      <c r="C43" s="3" t="s">
        <v>47</v>
      </c>
      <c r="D43" s="3" t="s">
        <v>303</v>
      </c>
      <c r="E43" s="3" t="s">
        <v>8</v>
      </c>
      <c r="F43" s="2" t="s">
        <v>309</v>
      </c>
      <c r="G43" s="3">
        <v>38</v>
      </c>
    </row>
    <row r="44" spans="1:9" x14ac:dyDescent="0.25">
      <c r="A44" s="2" t="s">
        <v>290</v>
      </c>
      <c r="B44" s="3" t="s">
        <v>75</v>
      </c>
      <c r="C44" s="3" t="s">
        <v>22</v>
      </c>
      <c r="D44" s="3" t="s">
        <v>297</v>
      </c>
      <c r="E44" s="3" t="s">
        <v>8</v>
      </c>
      <c r="F44" s="2" t="s">
        <v>310</v>
      </c>
      <c r="G44" s="3">
        <v>10</v>
      </c>
    </row>
    <row r="45" spans="1:9" x14ac:dyDescent="0.25">
      <c r="A45" s="2" t="s">
        <v>290</v>
      </c>
      <c r="B45" s="3" t="s">
        <v>73</v>
      </c>
      <c r="C45" s="3" t="s">
        <v>10</v>
      </c>
      <c r="D45" s="3" t="s">
        <v>296</v>
      </c>
      <c r="E45" s="3" t="s">
        <v>8</v>
      </c>
      <c r="F45" s="2" t="s">
        <v>311</v>
      </c>
      <c r="G45" s="3">
        <v>16</v>
      </c>
    </row>
    <row r="46" spans="1:9" x14ac:dyDescent="0.25">
      <c r="A46" s="2" t="s">
        <v>290</v>
      </c>
      <c r="B46" s="3" t="s">
        <v>71</v>
      </c>
      <c r="C46" s="3" t="s">
        <v>10</v>
      </c>
      <c r="D46" s="3" t="s">
        <v>296</v>
      </c>
      <c r="E46" s="3" t="s">
        <v>8</v>
      </c>
      <c r="F46" s="2" t="s">
        <v>312</v>
      </c>
      <c r="G46" s="3">
        <v>15</v>
      </c>
      <c r="H46" s="11">
        <f>SUM(G36:G46)</f>
        <v>212</v>
      </c>
      <c r="I46" s="9" t="s">
        <v>332</v>
      </c>
    </row>
    <row r="47" spans="1:9" x14ac:dyDescent="0.25">
      <c r="A47" s="8"/>
      <c r="B47" s="9"/>
      <c r="C47" s="9"/>
      <c r="D47" s="8"/>
      <c r="E47" s="9"/>
      <c r="F47" s="8"/>
      <c r="G47" s="9"/>
    </row>
    <row r="48" spans="1:9" x14ac:dyDescent="0.25">
      <c r="A48" s="8"/>
      <c r="B48" s="9"/>
      <c r="C48" s="9"/>
      <c r="D48" s="8"/>
      <c r="E48" s="9"/>
      <c r="F48" s="8"/>
      <c r="G48" s="9"/>
    </row>
    <row r="49" spans="1:7" x14ac:dyDescent="0.25">
      <c r="A49" s="10" t="s">
        <v>286</v>
      </c>
      <c r="B49" s="10" t="s">
        <v>1</v>
      </c>
      <c r="C49" s="10" t="s">
        <v>2</v>
      </c>
      <c r="D49" s="4" t="s">
        <v>287</v>
      </c>
      <c r="E49" s="10" t="s">
        <v>3</v>
      </c>
      <c r="F49" s="10" t="s">
        <v>0</v>
      </c>
      <c r="G49" s="4" t="s">
        <v>288</v>
      </c>
    </row>
    <row r="50" spans="1:7" x14ac:dyDescent="0.25">
      <c r="A50" s="2" t="s">
        <v>289</v>
      </c>
      <c r="B50" s="3" t="s">
        <v>18</v>
      </c>
      <c r="C50" s="3" t="s">
        <v>10</v>
      </c>
      <c r="D50" s="3" t="s">
        <v>296</v>
      </c>
      <c r="E50" s="3" t="s">
        <v>8</v>
      </c>
      <c r="F50" s="2" t="s">
        <v>319</v>
      </c>
      <c r="G50" s="3">
        <v>57</v>
      </c>
    </row>
    <row r="51" spans="1:7" x14ac:dyDescent="0.25">
      <c r="A51" s="2" t="s">
        <v>289</v>
      </c>
      <c r="B51" s="3" t="s">
        <v>18</v>
      </c>
      <c r="C51" s="3" t="s">
        <v>10</v>
      </c>
      <c r="D51" s="3" t="s">
        <v>296</v>
      </c>
      <c r="E51" s="3" t="s">
        <v>8</v>
      </c>
      <c r="F51" s="2" t="s">
        <v>318</v>
      </c>
      <c r="G51" s="3">
        <v>24</v>
      </c>
    </row>
    <row r="52" spans="1:7" x14ac:dyDescent="0.25">
      <c r="A52" s="2" t="s">
        <v>289</v>
      </c>
      <c r="B52" s="3" t="s">
        <v>18</v>
      </c>
      <c r="C52" s="3" t="s">
        <v>7</v>
      </c>
      <c r="D52" s="3" t="s">
        <v>316</v>
      </c>
      <c r="E52" s="3" t="s">
        <v>8</v>
      </c>
      <c r="F52" s="2" t="s">
        <v>319</v>
      </c>
      <c r="G52" s="3">
        <v>38</v>
      </c>
    </row>
    <row r="53" spans="1:7" x14ac:dyDescent="0.25">
      <c r="A53" s="2" t="s">
        <v>289</v>
      </c>
      <c r="B53" s="3" t="s">
        <v>18</v>
      </c>
      <c r="C53" s="3" t="s">
        <v>7</v>
      </c>
      <c r="D53" s="3" t="s">
        <v>316</v>
      </c>
      <c r="E53" s="3" t="s">
        <v>8</v>
      </c>
      <c r="F53" s="2" t="s">
        <v>318</v>
      </c>
      <c r="G53" s="3">
        <v>6</v>
      </c>
    </row>
    <row r="54" spans="1:7" x14ac:dyDescent="0.25">
      <c r="A54" s="2" t="s">
        <v>289</v>
      </c>
      <c r="B54" s="3" t="s">
        <v>15</v>
      </c>
      <c r="C54" s="3" t="s">
        <v>16</v>
      </c>
      <c r="D54" s="3" t="s">
        <v>321</v>
      </c>
      <c r="E54" s="3" t="s">
        <v>8</v>
      </c>
      <c r="F54" s="2" t="s">
        <v>323</v>
      </c>
      <c r="G54" s="3">
        <v>20</v>
      </c>
    </row>
    <row r="55" spans="1:7" x14ac:dyDescent="0.25">
      <c r="A55" s="2" t="s">
        <v>289</v>
      </c>
      <c r="B55" s="3" t="s">
        <v>15</v>
      </c>
      <c r="C55" s="3" t="s">
        <v>16</v>
      </c>
      <c r="D55" s="3" t="s">
        <v>321</v>
      </c>
      <c r="E55" s="3" t="s">
        <v>8</v>
      </c>
      <c r="F55" s="2" t="s">
        <v>322</v>
      </c>
      <c r="G55" s="3">
        <v>12</v>
      </c>
    </row>
    <row r="56" spans="1:7" x14ac:dyDescent="0.25">
      <c r="A56" s="2" t="s">
        <v>289</v>
      </c>
      <c r="B56" s="3" t="s">
        <v>63</v>
      </c>
      <c r="C56" s="3" t="s">
        <v>10</v>
      </c>
      <c r="D56" s="3" t="s">
        <v>296</v>
      </c>
      <c r="E56" s="3" t="s">
        <v>8</v>
      </c>
      <c r="F56" s="2" t="s">
        <v>314</v>
      </c>
      <c r="G56" s="3">
        <v>200</v>
      </c>
    </row>
    <row r="57" spans="1:7" x14ac:dyDescent="0.25">
      <c r="A57" s="2" t="s">
        <v>289</v>
      </c>
      <c r="B57" s="3" t="s">
        <v>63</v>
      </c>
      <c r="C57" s="3" t="s">
        <v>64</v>
      </c>
      <c r="D57" s="3" t="s">
        <v>313</v>
      </c>
      <c r="E57" s="3" t="s">
        <v>8</v>
      </c>
      <c r="F57" s="2" t="s">
        <v>315</v>
      </c>
      <c r="G57" s="3">
        <v>68</v>
      </c>
    </row>
    <row r="58" spans="1:7" x14ac:dyDescent="0.25">
      <c r="A58" s="2" t="s">
        <v>289</v>
      </c>
      <c r="B58" s="3" t="s">
        <v>63</v>
      </c>
      <c r="C58" s="3" t="s">
        <v>64</v>
      </c>
      <c r="D58" s="3" t="s">
        <v>313</v>
      </c>
      <c r="E58" s="3" t="s">
        <v>8</v>
      </c>
      <c r="F58" s="2" t="s">
        <v>314</v>
      </c>
      <c r="G58" s="3">
        <v>130</v>
      </c>
    </row>
    <row r="59" spans="1:7" x14ac:dyDescent="0.25">
      <c r="A59" s="2" t="s">
        <v>289</v>
      </c>
      <c r="B59" s="3" t="s">
        <v>43</v>
      </c>
      <c r="C59" s="3" t="s">
        <v>10</v>
      </c>
      <c r="D59" s="3" t="s">
        <v>296</v>
      </c>
      <c r="E59" s="3" t="s">
        <v>8</v>
      </c>
      <c r="F59" s="2" t="s">
        <v>317</v>
      </c>
      <c r="G59" s="3">
        <v>20</v>
      </c>
    </row>
    <row r="60" spans="1:7" x14ac:dyDescent="0.25">
      <c r="A60" s="2" t="s">
        <v>289</v>
      </c>
      <c r="B60" s="3" t="s">
        <v>43</v>
      </c>
      <c r="C60" s="3" t="s">
        <v>7</v>
      </c>
      <c r="D60" s="3" t="s">
        <v>316</v>
      </c>
      <c r="E60" s="3" t="s">
        <v>8</v>
      </c>
      <c r="F60" s="2" t="s">
        <v>317</v>
      </c>
      <c r="G60" s="3">
        <v>24</v>
      </c>
    </row>
    <row r="61" spans="1:7" x14ac:dyDescent="0.25">
      <c r="A61" s="2" t="s">
        <v>289</v>
      </c>
      <c r="B61" s="3" t="s">
        <v>79</v>
      </c>
      <c r="C61" s="3" t="s">
        <v>10</v>
      </c>
      <c r="D61" s="3" t="s">
        <v>296</v>
      </c>
      <c r="E61" s="3" t="s">
        <v>8</v>
      </c>
      <c r="F61" s="2" t="s">
        <v>324</v>
      </c>
      <c r="G61" s="3">
        <v>250</v>
      </c>
    </row>
    <row r="62" spans="1:7" x14ac:dyDescent="0.25">
      <c r="A62" s="2" t="s">
        <v>289</v>
      </c>
      <c r="B62" s="3" t="s">
        <v>79</v>
      </c>
      <c r="C62" s="3" t="s">
        <v>64</v>
      </c>
      <c r="D62" s="3" t="s">
        <v>313</v>
      </c>
      <c r="E62" s="3" t="s">
        <v>8</v>
      </c>
      <c r="F62" s="2" t="s">
        <v>324</v>
      </c>
      <c r="G62" s="3">
        <v>80</v>
      </c>
    </row>
    <row r="63" spans="1:7" x14ac:dyDescent="0.25">
      <c r="A63" s="2" t="s">
        <v>289</v>
      </c>
      <c r="B63" s="3" t="s">
        <v>66</v>
      </c>
      <c r="C63" s="3" t="s">
        <v>10</v>
      </c>
      <c r="D63" s="3" t="s">
        <v>296</v>
      </c>
      <c r="E63" s="3" t="s">
        <v>8</v>
      </c>
      <c r="F63" s="2" t="s">
        <v>326</v>
      </c>
      <c r="G63" s="3">
        <v>100</v>
      </c>
    </row>
    <row r="64" spans="1:7" x14ac:dyDescent="0.25">
      <c r="A64" s="2" t="s">
        <v>289</v>
      </c>
      <c r="B64" s="3" t="s">
        <v>66</v>
      </c>
      <c r="C64" s="3" t="s">
        <v>69</v>
      </c>
      <c r="D64" s="3" t="s">
        <v>325</v>
      </c>
      <c r="E64" s="3" t="s">
        <v>8</v>
      </c>
      <c r="F64" s="2" t="s">
        <v>326</v>
      </c>
      <c r="G64" s="3">
        <v>60</v>
      </c>
    </row>
    <row r="65" spans="1:9" x14ac:dyDescent="0.25">
      <c r="A65" s="2" t="s">
        <v>289</v>
      </c>
      <c r="B65" s="3" t="s">
        <v>66</v>
      </c>
      <c r="C65" s="3" t="s">
        <v>7</v>
      </c>
      <c r="D65" s="3" t="s">
        <v>316</v>
      </c>
      <c r="E65" s="3" t="s">
        <v>8</v>
      </c>
      <c r="F65" s="2" t="s">
        <v>326</v>
      </c>
      <c r="G65" s="3">
        <v>40</v>
      </c>
    </row>
    <row r="66" spans="1:9" x14ac:dyDescent="0.25">
      <c r="A66" s="2" t="s">
        <v>289</v>
      </c>
      <c r="B66" s="3" t="s">
        <v>12</v>
      </c>
      <c r="C66" s="3" t="s">
        <v>10</v>
      </c>
      <c r="D66" s="3" t="s">
        <v>296</v>
      </c>
      <c r="E66" s="3" t="s">
        <v>8</v>
      </c>
      <c r="F66" s="2" t="s">
        <v>328</v>
      </c>
      <c r="G66" s="3">
        <v>55</v>
      </c>
    </row>
    <row r="67" spans="1:9" x14ac:dyDescent="0.25">
      <c r="A67" s="2" t="s">
        <v>289</v>
      </c>
      <c r="B67" s="3" t="s">
        <v>12</v>
      </c>
      <c r="C67" s="3" t="s">
        <v>10</v>
      </c>
      <c r="D67" s="3" t="s">
        <v>296</v>
      </c>
      <c r="E67" s="3" t="s">
        <v>8</v>
      </c>
      <c r="F67" s="2" t="s">
        <v>327</v>
      </c>
      <c r="G67" s="3">
        <v>20</v>
      </c>
    </row>
    <row r="68" spans="1:9" x14ac:dyDescent="0.25">
      <c r="A68" s="2" t="s">
        <v>289</v>
      </c>
      <c r="B68" s="3" t="s">
        <v>12</v>
      </c>
      <c r="C68" s="3" t="s">
        <v>7</v>
      </c>
      <c r="D68" s="3" t="s">
        <v>316</v>
      </c>
      <c r="E68" s="3" t="s">
        <v>8</v>
      </c>
      <c r="F68" s="2" t="s">
        <v>328</v>
      </c>
      <c r="G68" s="3">
        <v>34</v>
      </c>
    </row>
    <row r="69" spans="1:9" x14ac:dyDescent="0.25">
      <c r="A69" s="2" t="s">
        <v>289</v>
      </c>
      <c r="B69" s="3" t="s">
        <v>12</v>
      </c>
      <c r="C69" s="3" t="s">
        <v>7</v>
      </c>
      <c r="D69" s="3" t="s">
        <v>316</v>
      </c>
      <c r="E69" s="3" t="s">
        <v>8</v>
      </c>
      <c r="F69" s="2" t="s">
        <v>327</v>
      </c>
      <c r="G69" s="3">
        <v>20</v>
      </c>
    </row>
    <row r="70" spans="1:9" x14ac:dyDescent="0.25">
      <c r="A70" s="2" t="s">
        <v>289</v>
      </c>
      <c r="B70" s="3" t="s">
        <v>6</v>
      </c>
      <c r="C70" s="3" t="s">
        <v>10</v>
      </c>
      <c r="D70" s="3" t="s">
        <v>296</v>
      </c>
      <c r="E70" s="3" t="s">
        <v>8</v>
      </c>
      <c r="F70" s="2" t="s">
        <v>330</v>
      </c>
      <c r="G70" s="3">
        <v>29</v>
      </c>
    </row>
    <row r="71" spans="1:9" x14ac:dyDescent="0.25">
      <c r="A71" s="2" t="s">
        <v>289</v>
      </c>
      <c r="B71" s="3" t="s">
        <v>6</v>
      </c>
      <c r="C71" s="3" t="s">
        <v>10</v>
      </c>
      <c r="D71" s="3" t="s">
        <v>296</v>
      </c>
      <c r="E71" s="3" t="s">
        <v>8</v>
      </c>
      <c r="F71" s="2" t="s">
        <v>329</v>
      </c>
      <c r="G71" s="3">
        <v>6</v>
      </c>
    </row>
    <row r="72" spans="1:9" x14ac:dyDescent="0.25">
      <c r="A72" s="2" t="s">
        <v>289</v>
      </c>
      <c r="B72" s="3" t="s">
        <v>6</v>
      </c>
      <c r="C72" s="3" t="s">
        <v>7</v>
      </c>
      <c r="D72" s="3" t="s">
        <v>316</v>
      </c>
      <c r="E72" s="3" t="s">
        <v>8</v>
      </c>
      <c r="F72" s="2" t="s">
        <v>330</v>
      </c>
      <c r="G72" s="3">
        <v>24</v>
      </c>
      <c r="H72" s="11">
        <f>SUM(G50:G72)</f>
        <v>1317</v>
      </c>
      <c r="I72" s="9" t="s">
        <v>333</v>
      </c>
    </row>
  </sheetData>
  <autoFilter ref="A49:G49" xr:uid="{846C5B4B-9467-43BE-8418-32D90E60A95B}"/>
  <pageMargins left="0.11811023622047245" right="0.11811023622047245" top="0.15748031496062992" bottom="0.15748031496062992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6563-F008-49EB-9A81-3C9DD1FA7FB7}">
  <sheetPr filterMode="1">
    <pageSetUpPr fitToPage="1"/>
  </sheetPr>
  <dimension ref="A1:J152"/>
  <sheetViews>
    <sheetView tabSelected="1" workbookViewId="0">
      <selection activeCell="J35" sqref="J35"/>
    </sheetView>
  </sheetViews>
  <sheetFormatPr baseColWidth="10" defaultColWidth="11.42578125" defaultRowHeight="15" x14ac:dyDescent="0.25"/>
  <cols>
    <col min="2" max="2" width="19" customWidth="1"/>
    <col min="4" max="4" width="23.140625" customWidth="1"/>
    <col min="5" max="5" width="29" bestFit="1" customWidth="1"/>
    <col min="9" max="9" width="16.140625" customWidth="1"/>
    <col min="10" max="10" width="48.85546875" customWidth="1"/>
  </cols>
  <sheetData>
    <row r="1" spans="1:10" x14ac:dyDescent="0.25">
      <c r="A1" s="1" t="s">
        <v>286</v>
      </c>
      <c r="B1" s="1" t="s">
        <v>1</v>
      </c>
      <c r="C1" s="1" t="s">
        <v>2</v>
      </c>
      <c r="D1" s="4" t="s">
        <v>287</v>
      </c>
      <c r="E1" s="12"/>
      <c r="F1" s="1" t="s">
        <v>3</v>
      </c>
      <c r="G1" s="1" t="s">
        <v>0</v>
      </c>
      <c r="H1" s="4" t="s">
        <v>288</v>
      </c>
      <c r="I1" s="1" t="s">
        <v>4</v>
      </c>
      <c r="J1" s="1" t="s">
        <v>5</v>
      </c>
    </row>
    <row r="2" spans="1:10" hidden="1" x14ac:dyDescent="0.25">
      <c r="A2" s="2" t="s">
        <v>290</v>
      </c>
      <c r="B2" s="3" t="s">
        <v>53</v>
      </c>
      <c r="C2" s="3" t="s">
        <v>38</v>
      </c>
      <c r="D2" s="5" t="s">
        <v>291</v>
      </c>
      <c r="E2" s="5" t="str">
        <f>_xlfn.CONCAT(C2,D2)</f>
        <v>0014NOIR/ARGENT VIBRE</v>
      </c>
      <c r="F2" s="3" t="s">
        <v>23</v>
      </c>
      <c r="G2" s="2" t="s">
        <v>293</v>
      </c>
      <c r="H2" s="3">
        <v>13</v>
      </c>
      <c r="I2" s="3" t="s">
        <v>59</v>
      </c>
      <c r="J2" s="1" t="s">
        <v>165</v>
      </c>
    </row>
    <row r="3" spans="1:10" hidden="1" x14ac:dyDescent="0.25">
      <c r="A3" s="2" t="s">
        <v>290</v>
      </c>
      <c r="B3" s="3" t="s">
        <v>53</v>
      </c>
      <c r="C3" s="3" t="s">
        <v>38</v>
      </c>
      <c r="D3" s="5" t="s">
        <v>291</v>
      </c>
      <c r="E3" s="5" t="str">
        <f t="shared" ref="E3:E66" si="0">_xlfn.CONCAT(C3,D3)</f>
        <v>0014NOIR/ARGENT VIBRE</v>
      </c>
      <c r="F3" s="3" t="s">
        <v>25</v>
      </c>
      <c r="G3" s="2" t="s">
        <v>293</v>
      </c>
      <c r="H3" s="3">
        <v>12</v>
      </c>
      <c r="I3" s="3" t="s">
        <v>60</v>
      </c>
      <c r="J3" s="1" t="s">
        <v>166</v>
      </c>
    </row>
    <row r="4" spans="1:10" hidden="1" x14ac:dyDescent="0.25">
      <c r="A4" s="2" t="s">
        <v>290</v>
      </c>
      <c r="B4" s="3" t="s">
        <v>53</v>
      </c>
      <c r="C4" s="3" t="s">
        <v>38</v>
      </c>
      <c r="D4" s="5" t="s">
        <v>291</v>
      </c>
      <c r="E4" s="5" t="str">
        <f t="shared" si="0"/>
        <v>0014NOIR/ARGENT VIBRE</v>
      </c>
      <c r="F4" s="3" t="s">
        <v>27</v>
      </c>
      <c r="G4" s="2" t="s">
        <v>293</v>
      </c>
      <c r="H4" s="3">
        <v>6</v>
      </c>
      <c r="I4" s="3" t="s">
        <v>61</v>
      </c>
      <c r="J4" s="1" t="s">
        <v>167</v>
      </c>
    </row>
    <row r="5" spans="1:10" hidden="1" x14ac:dyDescent="0.25">
      <c r="A5" s="2" t="s">
        <v>290</v>
      </c>
      <c r="B5" s="3" t="s">
        <v>53</v>
      </c>
      <c r="C5" s="3" t="s">
        <v>38</v>
      </c>
      <c r="D5" s="5" t="s">
        <v>291</v>
      </c>
      <c r="E5" s="5" t="str">
        <f t="shared" si="0"/>
        <v>0014NOIR/ARGENT VIBRE</v>
      </c>
      <c r="F5" s="3" t="s">
        <v>29</v>
      </c>
      <c r="G5" s="2" t="s">
        <v>293</v>
      </c>
      <c r="H5" s="3">
        <v>2</v>
      </c>
      <c r="I5" s="3" t="s">
        <v>62</v>
      </c>
      <c r="J5" s="1" t="s">
        <v>168</v>
      </c>
    </row>
    <row r="6" spans="1:10" hidden="1" x14ac:dyDescent="0.25">
      <c r="A6" s="2" t="s">
        <v>290</v>
      </c>
      <c r="B6" s="3" t="s">
        <v>53</v>
      </c>
      <c r="C6" s="3" t="s">
        <v>38</v>
      </c>
      <c r="D6" s="5" t="s">
        <v>291</v>
      </c>
      <c r="E6" s="5" t="str">
        <f t="shared" si="0"/>
        <v>0014NOIR/ARGENT VIBRE</v>
      </c>
      <c r="F6" s="3" t="s">
        <v>23</v>
      </c>
      <c r="G6" s="2" t="s">
        <v>294</v>
      </c>
      <c r="H6" s="3">
        <v>40</v>
      </c>
      <c r="I6" s="3" t="s">
        <v>59</v>
      </c>
      <c r="J6" s="1" t="s">
        <v>190</v>
      </c>
    </row>
    <row r="7" spans="1:10" hidden="1" x14ac:dyDescent="0.25">
      <c r="A7" s="2" t="s">
        <v>290</v>
      </c>
      <c r="B7" s="3" t="s">
        <v>53</v>
      </c>
      <c r="C7" s="3" t="s">
        <v>38</v>
      </c>
      <c r="D7" s="5" t="s">
        <v>291</v>
      </c>
      <c r="E7" s="5" t="str">
        <f t="shared" si="0"/>
        <v>0014NOIR/ARGENT VIBRE</v>
      </c>
      <c r="F7" s="3" t="s">
        <v>25</v>
      </c>
      <c r="G7" s="2" t="s">
        <v>294</v>
      </c>
      <c r="H7" s="3">
        <v>40</v>
      </c>
      <c r="I7" s="3" t="s">
        <v>60</v>
      </c>
      <c r="J7" s="1" t="s">
        <v>191</v>
      </c>
    </row>
    <row r="8" spans="1:10" hidden="1" x14ac:dyDescent="0.25">
      <c r="A8" s="2" t="s">
        <v>290</v>
      </c>
      <c r="B8" s="3" t="s">
        <v>53</v>
      </c>
      <c r="C8" s="3" t="s">
        <v>38</v>
      </c>
      <c r="D8" s="5" t="s">
        <v>291</v>
      </c>
      <c r="E8" s="5" t="str">
        <f t="shared" si="0"/>
        <v>0014NOIR/ARGENT VIBRE</v>
      </c>
      <c r="F8" s="3" t="s">
        <v>27</v>
      </c>
      <c r="G8" s="2" t="s">
        <v>294</v>
      </c>
      <c r="H8" s="3">
        <v>20</v>
      </c>
      <c r="I8" s="3" t="s">
        <v>61</v>
      </c>
      <c r="J8" s="1" t="s">
        <v>192</v>
      </c>
    </row>
    <row r="9" spans="1:10" hidden="1" x14ac:dyDescent="0.25">
      <c r="A9" s="2" t="s">
        <v>290</v>
      </c>
      <c r="B9" s="3" t="s">
        <v>53</v>
      </c>
      <c r="C9" s="3" t="s">
        <v>38</v>
      </c>
      <c r="D9" s="5" t="s">
        <v>291</v>
      </c>
      <c r="E9" s="5" t="str">
        <f t="shared" si="0"/>
        <v>0014NOIR/ARGENT VIBRE</v>
      </c>
      <c r="F9" s="3" t="s">
        <v>23</v>
      </c>
      <c r="G9" s="6">
        <v>7665</v>
      </c>
      <c r="H9" s="3">
        <v>209</v>
      </c>
      <c r="I9" s="3" t="s">
        <v>59</v>
      </c>
      <c r="J9" s="1" t="s">
        <v>270</v>
      </c>
    </row>
    <row r="10" spans="1:10" hidden="1" x14ac:dyDescent="0.25">
      <c r="A10" s="2" t="s">
        <v>290</v>
      </c>
      <c r="B10" s="3" t="s">
        <v>53</v>
      </c>
      <c r="C10" s="3" t="s">
        <v>38</v>
      </c>
      <c r="D10" s="5" t="s">
        <v>291</v>
      </c>
      <c r="E10" s="5" t="str">
        <f t="shared" si="0"/>
        <v>0014NOIR/ARGENT VIBRE</v>
      </c>
      <c r="F10" s="3" t="s">
        <v>25</v>
      </c>
      <c r="G10" s="6">
        <v>7665</v>
      </c>
      <c r="H10" s="3">
        <v>330</v>
      </c>
      <c r="I10" s="3" t="s">
        <v>60</v>
      </c>
      <c r="J10" s="1" t="s">
        <v>271</v>
      </c>
    </row>
    <row r="11" spans="1:10" hidden="1" x14ac:dyDescent="0.25">
      <c r="A11" s="2" t="s">
        <v>290</v>
      </c>
      <c r="B11" s="3" t="s">
        <v>53</v>
      </c>
      <c r="C11" s="3" t="s">
        <v>38</v>
      </c>
      <c r="D11" s="5" t="s">
        <v>291</v>
      </c>
      <c r="E11" s="5" t="str">
        <f t="shared" si="0"/>
        <v>0014NOIR/ARGENT VIBRE</v>
      </c>
      <c r="F11" s="3" t="s">
        <v>27</v>
      </c>
      <c r="G11" s="6">
        <v>7665</v>
      </c>
      <c r="H11" s="3">
        <v>237</v>
      </c>
      <c r="I11" s="3" t="s">
        <v>61</v>
      </c>
      <c r="J11" s="1" t="s">
        <v>272</v>
      </c>
    </row>
    <row r="12" spans="1:10" hidden="1" x14ac:dyDescent="0.25">
      <c r="A12" s="2" t="s">
        <v>290</v>
      </c>
      <c r="B12" s="3" t="s">
        <v>53</v>
      </c>
      <c r="C12" s="3" t="s">
        <v>38</v>
      </c>
      <c r="D12" s="5" t="s">
        <v>291</v>
      </c>
      <c r="E12" s="5" t="str">
        <f t="shared" si="0"/>
        <v>0014NOIR/ARGENT VIBRE</v>
      </c>
      <c r="F12" s="3" t="s">
        <v>29</v>
      </c>
      <c r="G12" s="6">
        <v>7665</v>
      </c>
      <c r="H12" s="3">
        <v>101</v>
      </c>
      <c r="I12" s="3" t="s">
        <v>62</v>
      </c>
      <c r="J12" s="1" t="s">
        <v>273</v>
      </c>
    </row>
    <row r="13" spans="1:10" hidden="1" x14ac:dyDescent="0.25">
      <c r="A13" s="2" t="s">
        <v>290</v>
      </c>
      <c r="B13" s="3" t="s">
        <v>53</v>
      </c>
      <c r="C13" s="3" t="s">
        <v>54</v>
      </c>
      <c r="D13" s="2" t="s">
        <v>292</v>
      </c>
      <c r="E13" s="5" t="str">
        <f t="shared" si="0"/>
        <v>0015NOIR/LAITON VIBRE</v>
      </c>
      <c r="F13" s="3" t="s">
        <v>23</v>
      </c>
      <c r="G13" s="2" t="s">
        <v>293</v>
      </c>
      <c r="H13" s="3">
        <v>29</v>
      </c>
      <c r="I13" s="3" t="s">
        <v>55</v>
      </c>
      <c r="J13" s="1" t="s">
        <v>161</v>
      </c>
    </row>
    <row r="14" spans="1:10" hidden="1" x14ac:dyDescent="0.25">
      <c r="A14" s="2" t="s">
        <v>290</v>
      </c>
      <c r="B14" s="3" t="s">
        <v>53</v>
      </c>
      <c r="C14" s="3" t="s">
        <v>54</v>
      </c>
      <c r="D14" s="2" t="s">
        <v>292</v>
      </c>
      <c r="E14" s="5" t="str">
        <f t="shared" si="0"/>
        <v>0015NOIR/LAITON VIBRE</v>
      </c>
      <c r="F14" s="3" t="s">
        <v>25</v>
      </c>
      <c r="G14" s="2" t="s">
        <v>293</v>
      </c>
      <c r="H14" s="3">
        <v>26</v>
      </c>
      <c r="I14" s="3" t="s">
        <v>56</v>
      </c>
      <c r="J14" s="1" t="s">
        <v>162</v>
      </c>
    </row>
    <row r="15" spans="1:10" hidden="1" x14ac:dyDescent="0.25">
      <c r="A15" s="2" t="s">
        <v>290</v>
      </c>
      <c r="B15" s="3" t="s">
        <v>53</v>
      </c>
      <c r="C15" s="3" t="s">
        <v>54</v>
      </c>
      <c r="D15" s="2" t="s">
        <v>292</v>
      </c>
      <c r="E15" s="5" t="str">
        <f t="shared" si="0"/>
        <v>0015NOIR/LAITON VIBRE</v>
      </c>
      <c r="F15" s="3" t="s">
        <v>27</v>
      </c>
      <c r="G15" s="2" t="s">
        <v>293</v>
      </c>
      <c r="H15" s="3">
        <v>11</v>
      </c>
      <c r="I15" s="3" t="s">
        <v>57</v>
      </c>
      <c r="J15" s="1" t="s">
        <v>163</v>
      </c>
    </row>
    <row r="16" spans="1:10" hidden="1" x14ac:dyDescent="0.25">
      <c r="A16" s="2" t="s">
        <v>290</v>
      </c>
      <c r="B16" s="3" t="s">
        <v>53</v>
      </c>
      <c r="C16" s="3" t="s">
        <v>54</v>
      </c>
      <c r="D16" s="2" t="s">
        <v>292</v>
      </c>
      <c r="E16" s="5" t="str">
        <f t="shared" si="0"/>
        <v>0015NOIR/LAITON VIBRE</v>
      </c>
      <c r="F16" s="3" t="s">
        <v>29</v>
      </c>
      <c r="G16" s="2" t="s">
        <v>293</v>
      </c>
      <c r="H16" s="3">
        <v>4</v>
      </c>
      <c r="I16" s="3" t="s">
        <v>58</v>
      </c>
      <c r="J16" s="1" t="s">
        <v>164</v>
      </c>
    </row>
    <row r="17" spans="1:10" hidden="1" x14ac:dyDescent="0.25">
      <c r="A17" s="2" t="s">
        <v>290</v>
      </c>
      <c r="B17" s="3" t="s">
        <v>53</v>
      </c>
      <c r="C17" s="3" t="s">
        <v>54</v>
      </c>
      <c r="D17" s="2" t="s">
        <v>292</v>
      </c>
      <c r="E17" s="5" t="str">
        <f t="shared" si="0"/>
        <v>0015NOIR/LAITON VIBRE</v>
      </c>
      <c r="F17" s="3" t="s">
        <v>23</v>
      </c>
      <c r="G17" s="2" t="s">
        <v>294</v>
      </c>
      <c r="H17" s="3">
        <v>65</v>
      </c>
      <c r="I17" s="3" t="s">
        <v>55</v>
      </c>
      <c r="J17" s="1" t="s">
        <v>193</v>
      </c>
    </row>
    <row r="18" spans="1:10" hidden="1" x14ac:dyDescent="0.25">
      <c r="A18" s="2" t="s">
        <v>290</v>
      </c>
      <c r="B18" s="3" t="s">
        <v>53</v>
      </c>
      <c r="C18" s="3" t="s">
        <v>54</v>
      </c>
      <c r="D18" s="2" t="s">
        <v>292</v>
      </c>
      <c r="E18" s="5" t="str">
        <f t="shared" si="0"/>
        <v>0015NOIR/LAITON VIBRE</v>
      </c>
      <c r="F18" s="3" t="s">
        <v>25</v>
      </c>
      <c r="G18" s="2" t="s">
        <v>294</v>
      </c>
      <c r="H18" s="3">
        <v>70</v>
      </c>
      <c r="I18" s="3" t="s">
        <v>56</v>
      </c>
      <c r="J18" s="1" t="s">
        <v>194</v>
      </c>
    </row>
    <row r="19" spans="1:10" hidden="1" x14ac:dyDescent="0.25">
      <c r="A19" s="2" t="s">
        <v>290</v>
      </c>
      <c r="B19" s="3" t="s">
        <v>53</v>
      </c>
      <c r="C19" s="3" t="s">
        <v>54</v>
      </c>
      <c r="D19" s="2" t="s">
        <v>292</v>
      </c>
      <c r="E19" s="5" t="str">
        <f t="shared" si="0"/>
        <v>0015NOIR/LAITON VIBRE</v>
      </c>
      <c r="F19" s="3" t="s">
        <v>27</v>
      </c>
      <c r="G19" s="2" t="s">
        <v>294</v>
      </c>
      <c r="H19" s="3">
        <v>40</v>
      </c>
      <c r="I19" s="3" t="s">
        <v>57</v>
      </c>
      <c r="J19" s="1" t="s">
        <v>195</v>
      </c>
    </row>
    <row r="20" spans="1:10" hidden="1" x14ac:dyDescent="0.25">
      <c r="A20" s="2" t="s">
        <v>290</v>
      </c>
      <c r="B20" s="3" t="s">
        <v>53</v>
      </c>
      <c r="C20" s="3" t="s">
        <v>54</v>
      </c>
      <c r="D20" s="2" t="s">
        <v>292</v>
      </c>
      <c r="E20" s="5" t="str">
        <f t="shared" si="0"/>
        <v>0015NOIR/LAITON VIBRE</v>
      </c>
      <c r="F20" s="3" t="s">
        <v>23</v>
      </c>
      <c r="G20" s="6">
        <v>7665</v>
      </c>
      <c r="H20" s="3">
        <v>224</v>
      </c>
      <c r="I20" s="3" t="s">
        <v>55</v>
      </c>
      <c r="J20" s="1" t="s">
        <v>274</v>
      </c>
    </row>
    <row r="21" spans="1:10" hidden="1" x14ac:dyDescent="0.25">
      <c r="A21" s="2" t="s">
        <v>290</v>
      </c>
      <c r="B21" s="3" t="s">
        <v>53</v>
      </c>
      <c r="C21" s="3" t="s">
        <v>54</v>
      </c>
      <c r="D21" s="2" t="s">
        <v>292</v>
      </c>
      <c r="E21" s="5" t="str">
        <f t="shared" si="0"/>
        <v>0015NOIR/LAITON VIBRE</v>
      </c>
      <c r="F21" s="3" t="s">
        <v>25</v>
      </c>
      <c r="G21" s="6">
        <v>7665</v>
      </c>
      <c r="H21" s="3">
        <v>287</v>
      </c>
      <c r="I21" s="3" t="s">
        <v>56</v>
      </c>
      <c r="J21" s="1" t="s">
        <v>275</v>
      </c>
    </row>
    <row r="22" spans="1:10" hidden="1" x14ac:dyDescent="0.25">
      <c r="A22" s="2" t="s">
        <v>290</v>
      </c>
      <c r="B22" s="3" t="s">
        <v>53</v>
      </c>
      <c r="C22" s="3" t="s">
        <v>54</v>
      </c>
      <c r="D22" s="2" t="s">
        <v>292</v>
      </c>
      <c r="E22" s="5" t="str">
        <f t="shared" si="0"/>
        <v>0015NOIR/LAITON VIBRE</v>
      </c>
      <c r="F22" s="3" t="s">
        <v>27</v>
      </c>
      <c r="G22" s="6">
        <v>7665</v>
      </c>
      <c r="H22" s="3">
        <v>175</v>
      </c>
      <c r="I22" s="3" t="s">
        <v>57</v>
      </c>
      <c r="J22" s="1" t="s">
        <v>276</v>
      </c>
    </row>
    <row r="23" spans="1:10" hidden="1" x14ac:dyDescent="0.25">
      <c r="A23" s="2" t="s">
        <v>290</v>
      </c>
      <c r="B23" s="3" t="s">
        <v>53</v>
      </c>
      <c r="C23" s="3" t="s">
        <v>54</v>
      </c>
      <c r="D23" s="2" t="s">
        <v>292</v>
      </c>
      <c r="E23" s="5" t="str">
        <f t="shared" si="0"/>
        <v>0015NOIR/LAITON VIBRE</v>
      </c>
      <c r="F23" s="3" t="s">
        <v>29</v>
      </c>
      <c r="G23" s="6">
        <v>7665</v>
      </c>
      <c r="H23" s="3">
        <v>65</v>
      </c>
      <c r="I23" s="3" t="s">
        <v>58</v>
      </c>
      <c r="J23" s="1" t="s">
        <v>277</v>
      </c>
    </row>
    <row r="24" spans="1:10" hidden="1" x14ac:dyDescent="0.25">
      <c r="A24" s="2" t="s">
        <v>290</v>
      </c>
      <c r="B24" s="3" t="s">
        <v>53</v>
      </c>
      <c r="C24" s="3" t="s">
        <v>130</v>
      </c>
      <c r="D24" s="3" t="s">
        <v>295</v>
      </c>
      <c r="E24" s="5" t="str">
        <f t="shared" si="0"/>
        <v>225CHOCOLATE/LAITON VIBRE</v>
      </c>
      <c r="F24" s="3" t="s">
        <v>23</v>
      </c>
      <c r="G24" s="6">
        <v>7665</v>
      </c>
      <c r="H24" s="3">
        <v>27</v>
      </c>
      <c r="I24" s="3" t="s">
        <v>131</v>
      </c>
      <c r="J24" s="1" t="s">
        <v>278</v>
      </c>
    </row>
    <row r="25" spans="1:10" hidden="1" x14ac:dyDescent="0.25">
      <c r="A25" s="2" t="s">
        <v>290</v>
      </c>
      <c r="B25" s="3" t="s">
        <v>53</v>
      </c>
      <c r="C25" s="3" t="s">
        <v>130</v>
      </c>
      <c r="D25" s="3" t="s">
        <v>295</v>
      </c>
      <c r="E25" s="5" t="str">
        <f t="shared" si="0"/>
        <v>225CHOCOLATE/LAITON VIBRE</v>
      </c>
      <c r="F25" s="3" t="s">
        <v>25</v>
      </c>
      <c r="G25" s="6">
        <v>7665</v>
      </c>
      <c r="H25" s="3">
        <v>47</v>
      </c>
      <c r="I25" s="3" t="s">
        <v>132</v>
      </c>
      <c r="J25" s="1" t="s">
        <v>279</v>
      </c>
    </row>
    <row r="26" spans="1:10" hidden="1" x14ac:dyDescent="0.25">
      <c r="A26" s="2" t="s">
        <v>290</v>
      </c>
      <c r="B26" s="3" t="s">
        <v>53</v>
      </c>
      <c r="C26" s="3" t="s">
        <v>130</v>
      </c>
      <c r="D26" s="3" t="s">
        <v>295</v>
      </c>
      <c r="E26" s="5" t="str">
        <f t="shared" si="0"/>
        <v>225CHOCOLATE/LAITON VIBRE</v>
      </c>
      <c r="F26" s="3" t="s">
        <v>27</v>
      </c>
      <c r="G26" s="6">
        <v>7665</v>
      </c>
      <c r="H26" s="3">
        <v>33</v>
      </c>
      <c r="I26" s="3" t="s">
        <v>133</v>
      </c>
      <c r="J26" s="1" t="s">
        <v>280</v>
      </c>
    </row>
    <row r="27" spans="1:10" hidden="1" x14ac:dyDescent="0.25">
      <c r="A27" s="2" t="s">
        <v>290</v>
      </c>
      <c r="B27" s="3" t="s">
        <v>53</v>
      </c>
      <c r="C27" s="3" t="s">
        <v>130</v>
      </c>
      <c r="D27" s="3" t="s">
        <v>295</v>
      </c>
      <c r="E27" s="5" t="str">
        <f t="shared" si="0"/>
        <v>225CHOCOLATE/LAITON VIBRE</v>
      </c>
      <c r="F27" s="3" t="s">
        <v>29</v>
      </c>
      <c r="G27" s="6">
        <v>7665</v>
      </c>
      <c r="H27" s="3">
        <v>3</v>
      </c>
      <c r="I27" s="3" t="s">
        <v>134</v>
      </c>
      <c r="J27" s="1" t="s">
        <v>281</v>
      </c>
    </row>
    <row r="28" spans="1:10" hidden="1" x14ac:dyDescent="0.25">
      <c r="A28" s="2" t="s">
        <v>290</v>
      </c>
      <c r="B28" s="3" t="s">
        <v>112</v>
      </c>
      <c r="C28" s="3" t="s">
        <v>10</v>
      </c>
      <c r="D28" s="2" t="s">
        <v>296</v>
      </c>
      <c r="E28" s="5" t="str">
        <f t="shared" si="0"/>
        <v>001BLACK</v>
      </c>
      <c r="F28" s="3" t="s">
        <v>23</v>
      </c>
      <c r="G28" s="6">
        <v>7672</v>
      </c>
      <c r="H28" s="3">
        <v>45</v>
      </c>
      <c r="I28" s="3" t="s">
        <v>117</v>
      </c>
      <c r="J28" s="1" t="s">
        <v>246</v>
      </c>
    </row>
    <row r="29" spans="1:10" hidden="1" x14ac:dyDescent="0.25">
      <c r="A29" s="2" t="s">
        <v>290</v>
      </c>
      <c r="B29" s="3" t="s">
        <v>112</v>
      </c>
      <c r="C29" s="3" t="s">
        <v>10</v>
      </c>
      <c r="D29" s="2" t="s">
        <v>296</v>
      </c>
      <c r="E29" s="5" t="str">
        <f t="shared" si="0"/>
        <v>001BLACK</v>
      </c>
      <c r="F29" s="3" t="s">
        <v>25</v>
      </c>
      <c r="G29" s="6">
        <v>7672</v>
      </c>
      <c r="H29" s="3">
        <v>64</v>
      </c>
      <c r="I29" s="3" t="s">
        <v>118</v>
      </c>
      <c r="J29" s="1" t="s">
        <v>247</v>
      </c>
    </row>
    <row r="30" spans="1:10" hidden="1" x14ac:dyDescent="0.25">
      <c r="A30" s="2" t="s">
        <v>290</v>
      </c>
      <c r="B30" s="3" t="s">
        <v>112</v>
      </c>
      <c r="C30" s="3" t="s">
        <v>10</v>
      </c>
      <c r="D30" s="2" t="s">
        <v>296</v>
      </c>
      <c r="E30" s="5" t="str">
        <f t="shared" si="0"/>
        <v>001BLACK</v>
      </c>
      <c r="F30" s="3" t="s">
        <v>27</v>
      </c>
      <c r="G30" s="6">
        <v>7672</v>
      </c>
      <c r="H30" s="3">
        <v>31</v>
      </c>
      <c r="I30" s="3" t="s">
        <v>119</v>
      </c>
      <c r="J30" s="1" t="s">
        <v>248</v>
      </c>
    </row>
    <row r="31" spans="1:10" hidden="1" x14ac:dyDescent="0.25">
      <c r="A31" s="2" t="s">
        <v>290</v>
      </c>
      <c r="B31" s="3" t="s">
        <v>112</v>
      </c>
      <c r="C31" s="3" t="s">
        <v>10</v>
      </c>
      <c r="D31" s="2" t="s">
        <v>296</v>
      </c>
      <c r="E31" s="5" t="str">
        <f t="shared" si="0"/>
        <v>001BLACK</v>
      </c>
      <c r="F31" s="3" t="s">
        <v>29</v>
      </c>
      <c r="G31" s="6">
        <v>7672</v>
      </c>
      <c r="H31" s="3">
        <v>3</v>
      </c>
      <c r="I31" s="3" t="s">
        <v>120</v>
      </c>
      <c r="J31" s="1" t="s">
        <v>249</v>
      </c>
    </row>
    <row r="32" spans="1:10" x14ac:dyDescent="0.25">
      <c r="A32" s="2" t="s">
        <v>290</v>
      </c>
      <c r="B32" s="3" t="s">
        <v>112</v>
      </c>
      <c r="C32" s="3" t="s">
        <v>22</v>
      </c>
      <c r="D32" s="2" t="s">
        <v>297</v>
      </c>
      <c r="E32" s="5" t="str">
        <f t="shared" si="0"/>
        <v>2221CHOCOLATE BROWN</v>
      </c>
      <c r="F32" s="3" t="s">
        <v>23</v>
      </c>
      <c r="G32" s="6">
        <v>7672</v>
      </c>
      <c r="H32" s="3">
        <v>156</v>
      </c>
      <c r="I32" s="3" t="s">
        <v>113</v>
      </c>
      <c r="J32" s="1" t="s">
        <v>242</v>
      </c>
    </row>
    <row r="33" spans="1:10" x14ac:dyDescent="0.25">
      <c r="A33" s="2" t="s">
        <v>290</v>
      </c>
      <c r="B33" s="3" t="s">
        <v>112</v>
      </c>
      <c r="C33" s="3" t="s">
        <v>22</v>
      </c>
      <c r="D33" s="2" t="s">
        <v>297</v>
      </c>
      <c r="E33" s="5" t="str">
        <f t="shared" si="0"/>
        <v>2221CHOCOLATE BROWN</v>
      </c>
      <c r="F33" s="3" t="s">
        <v>25</v>
      </c>
      <c r="G33" s="6">
        <v>7672</v>
      </c>
      <c r="H33" s="3">
        <v>249</v>
      </c>
      <c r="I33" s="3" t="s">
        <v>114</v>
      </c>
      <c r="J33" s="1" t="s">
        <v>243</v>
      </c>
    </row>
    <row r="34" spans="1:10" x14ac:dyDescent="0.25">
      <c r="A34" s="2" t="s">
        <v>290</v>
      </c>
      <c r="B34" s="3" t="s">
        <v>112</v>
      </c>
      <c r="C34" s="3" t="s">
        <v>22</v>
      </c>
      <c r="D34" s="2" t="s">
        <v>297</v>
      </c>
      <c r="E34" s="5" t="str">
        <f t="shared" si="0"/>
        <v>2221CHOCOLATE BROWN</v>
      </c>
      <c r="F34" s="3" t="s">
        <v>27</v>
      </c>
      <c r="G34" s="6">
        <v>7672</v>
      </c>
      <c r="H34" s="3">
        <v>160</v>
      </c>
      <c r="I34" s="3" t="s">
        <v>115</v>
      </c>
      <c r="J34" s="1" t="s">
        <v>244</v>
      </c>
    </row>
    <row r="35" spans="1:10" x14ac:dyDescent="0.25">
      <c r="A35" s="2" t="s">
        <v>290</v>
      </c>
      <c r="B35" s="3" t="s">
        <v>112</v>
      </c>
      <c r="C35" s="3" t="s">
        <v>22</v>
      </c>
      <c r="D35" s="2" t="s">
        <v>297</v>
      </c>
      <c r="E35" s="5" t="str">
        <f t="shared" si="0"/>
        <v>2221CHOCOLATE BROWN</v>
      </c>
      <c r="F35" s="3" t="s">
        <v>29</v>
      </c>
      <c r="G35" s="6">
        <v>7672</v>
      </c>
      <c r="H35" s="3">
        <v>52</v>
      </c>
      <c r="I35" s="3" t="s">
        <v>116</v>
      </c>
      <c r="J35" s="1" t="s">
        <v>245</v>
      </c>
    </row>
    <row r="36" spans="1:10" hidden="1" x14ac:dyDescent="0.25">
      <c r="A36" s="2" t="s">
        <v>290</v>
      </c>
      <c r="B36" s="3" t="s">
        <v>37</v>
      </c>
      <c r="C36" s="3" t="s">
        <v>38</v>
      </c>
      <c r="D36" s="5" t="s">
        <v>291</v>
      </c>
      <c r="E36" s="5" t="str">
        <f t="shared" si="0"/>
        <v>0014NOIR/ARGENT VIBRE</v>
      </c>
      <c r="F36" s="3" t="s">
        <v>23</v>
      </c>
      <c r="G36" s="2" t="s">
        <v>298</v>
      </c>
      <c r="H36" s="3">
        <v>7</v>
      </c>
      <c r="I36" s="3" t="s">
        <v>39</v>
      </c>
      <c r="J36" s="1" t="s">
        <v>151</v>
      </c>
    </row>
    <row r="37" spans="1:10" hidden="1" x14ac:dyDescent="0.25">
      <c r="A37" s="2" t="s">
        <v>290</v>
      </c>
      <c r="B37" s="3" t="s">
        <v>37</v>
      </c>
      <c r="C37" s="3" t="s">
        <v>38</v>
      </c>
      <c r="D37" s="5" t="s">
        <v>291</v>
      </c>
      <c r="E37" s="5" t="str">
        <f t="shared" si="0"/>
        <v>0014NOIR/ARGENT VIBRE</v>
      </c>
      <c r="F37" s="3" t="s">
        <v>25</v>
      </c>
      <c r="G37" s="2" t="s">
        <v>298</v>
      </c>
      <c r="H37" s="3">
        <v>8</v>
      </c>
      <c r="I37" s="3" t="s">
        <v>40</v>
      </c>
      <c r="J37" s="1" t="s">
        <v>152</v>
      </c>
    </row>
    <row r="38" spans="1:10" hidden="1" x14ac:dyDescent="0.25">
      <c r="A38" s="2" t="s">
        <v>290</v>
      </c>
      <c r="B38" s="3" t="s">
        <v>37</v>
      </c>
      <c r="C38" s="3" t="s">
        <v>38</v>
      </c>
      <c r="D38" s="5" t="s">
        <v>291</v>
      </c>
      <c r="E38" s="5" t="str">
        <f t="shared" si="0"/>
        <v>0014NOIR/ARGENT VIBRE</v>
      </c>
      <c r="F38" s="3" t="s">
        <v>27</v>
      </c>
      <c r="G38" s="2" t="s">
        <v>298</v>
      </c>
      <c r="H38" s="3">
        <v>4</v>
      </c>
      <c r="I38" s="3" t="s">
        <v>41</v>
      </c>
      <c r="J38" s="1" t="s">
        <v>153</v>
      </c>
    </row>
    <row r="39" spans="1:10" hidden="1" x14ac:dyDescent="0.25">
      <c r="A39" s="2" t="s">
        <v>290</v>
      </c>
      <c r="B39" s="3" t="s">
        <v>37</v>
      </c>
      <c r="C39" s="3" t="s">
        <v>38</v>
      </c>
      <c r="D39" s="5" t="s">
        <v>291</v>
      </c>
      <c r="E39" s="5" t="str">
        <f t="shared" si="0"/>
        <v>0014NOIR/ARGENT VIBRE</v>
      </c>
      <c r="F39" s="3" t="s">
        <v>29</v>
      </c>
      <c r="G39" s="2" t="s">
        <v>298</v>
      </c>
      <c r="H39" s="3">
        <v>2</v>
      </c>
      <c r="I39" s="3" t="s">
        <v>42</v>
      </c>
      <c r="J39" s="1" t="s">
        <v>154</v>
      </c>
    </row>
    <row r="40" spans="1:10" hidden="1" x14ac:dyDescent="0.25">
      <c r="A40" s="2" t="s">
        <v>290</v>
      </c>
      <c r="B40" s="3" t="s">
        <v>37</v>
      </c>
      <c r="C40" s="3" t="s">
        <v>38</v>
      </c>
      <c r="D40" s="5" t="s">
        <v>291</v>
      </c>
      <c r="E40" s="5" t="str">
        <f t="shared" si="0"/>
        <v>0014NOIR/ARGENT VIBRE</v>
      </c>
      <c r="F40" s="3" t="s">
        <v>23</v>
      </c>
      <c r="G40" s="2" t="s">
        <v>299</v>
      </c>
      <c r="H40" s="3">
        <v>58</v>
      </c>
      <c r="I40" s="3" t="s">
        <v>39</v>
      </c>
      <c r="J40" s="1" t="s">
        <v>184</v>
      </c>
    </row>
    <row r="41" spans="1:10" hidden="1" x14ac:dyDescent="0.25">
      <c r="A41" s="2" t="s">
        <v>290</v>
      </c>
      <c r="B41" s="3" t="s">
        <v>37</v>
      </c>
      <c r="C41" s="3" t="s">
        <v>38</v>
      </c>
      <c r="D41" s="5" t="s">
        <v>291</v>
      </c>
      <c r="E41" s="5" t="str">
        <f t="shared" si="0"/>
        <v>0014NOIR/ARGENT VIBRE</v>
      </c>
      <c r="F41" s="3" t="s">
        <v>25</v>
      </c>
      <c r="G41" s="2" t="s">
        <v>299</v>
      </c>
      <c r="H41" s="3">
        <v>50</v>
      </c>
      <c r="I41" s="3" t="s">
        <v>40</v>
      </c>
      <c r="J41" s="1" t="s">
        <v>185</v>
      </c>
    </row>
    <row r="42" spans="1:10" hidden="1" x14ac:dyDescent="0.25">
      <c r="A42" s="2" t="s">
        <v>290</v>
      </c>
      <c r="B42" s="3" t="s">
        <v>37</v>
      </c>
      <c r="C42" s="3" t="s">
        <v>38</v>
      </c>
      <c r="D42" s="5" t="s">
        <v>291</v>
      </c>
      <c r="E42" s="5" t="str">
        <f t="shared" si="0"/>
        <v>0014NOIR/ARGENT VIBRE</v>
      </c>
      <c r="F42" s="3" t="s">
        <v>27</v>
      </c>
      <c r="G42" s="2" t="s">
        <v>299</v>
      </c>
      <c r="H42" s="3">
        <v>15</v>
      </c>
      <c r="I42" s="3" t="s">
        <v>41</v>
      </c>
      <c r="J42" s="1" t="s">
        <v>186</v>
      </c>
    </row>
    <row r="43" spans="1:10" hidden="1" x14ac:dyDescent="0.25">
      <c r="A43" s="2" t="s">
        <v>290</v>
      </c>
      <c r="B43" s="3" t="s">
        <v>37</v>
      </c>
      <c r="C43" s="3" t="s">
        <v>38</v>
      </c>
      <c r="D43" s="5" t="s">
        <v>291</v>
      </c>
      <c r="E43" s="5" t="str">
        <f t="shared" si="0"/>
        <v>0014NOIR/ARGENT VIBRE</v>
      </c>
      <c r="F43" s="3" t="s">
        <v>23</v>
      </c>
      <c r="G43" s="6">
        <v>7670</v>
      </c>
      <c r="H43" s="3">
        <v>48</v>
      </c>
      <c r="I43" s="3" t="s">
        <v>39</v>
      </c>
      <c r="J43" s="1" t="s">
        <v>252</v>
      </c>
    </row>
    <row r="44" spans="1:10" hidden="1" x14ac:dyDescent="0.25">
      <c r="A44" s="2" t="s">
        <v>290</v>
      </c>
      <c r="B44" s="3" t="s">
        <v>37</v>
      </c>
      <c r="C44" s="3" t="s">
        <v>38</v>
      </c>
      <c r="D44" s="5" t="s">
        <v>291</v>
      </c>
      <c r="E44" s="5" t="str">
        <f t="shared" si="0"/>
        <v>0014NOIR/ARGENT VIBRE</v>
      </c>
      <c r="F44" s="3" t="s">
        <v>25</v>
      </c>
      <c r="G44" s="6">
        <v>7670</v>
      </c>
      <c r="H44" s="3">
        <v>131</v>
      </c>
      <c r="I44" s="3" t="s">
        <v>40</v>
      </c>
      <c r="J44" s="1" t="s">
        <v>253</v>
      </c>
    </row>
    <row r="45" spans="1:10" hidden="1" x14ac:dyDescent="0.25">
      <c r="A45" s="2" t="s">
        <v>290</v>
      </c>
      <c r="B45" s="3" t="s">
        <v>37</v>
      </c>
      <c r="C45" s="3" t="s">
        <v>38</v>
      </c>
      <c r="D45" s="5" t="s">
        <v>291</v>
      </c>
      <c r="E45" s="5" t="str">
        <f t="shared" si="0"/>
        <v>0014NOIR/ARGENT VIBRE</v>
      </c>
      <c r="F45" s="3" t="s">
        <v>27</v>
      </c>
      <c r="G45" s="6">
        <v>7670</v>
      </c>
      <c r="H45" s="3">
        <v>111</v>
      </c>
      <c r="I45" s="3" t="s">
        <v>41</v>
      </c>
      <c r="J45" s="1" t="s">
        <v>254</v>
      </c>
    </row>
    <row r="46" spans="1:10" hidden="1" x14ac:dyDescent="0.25">
      <c r="A46" s="2" t="s">
        <v>290</v>
      </c>
      <c r="B46" s="3" t="s">
        <v>37</v>
      </c>
      <c r="C46" s="3" t="s">
        <v>38</v>
      </c>
      <c r="D46" s="5" t="s">
        <v>291</v>
      </c>
      <c r="E46" s="5" t="str">
        <f t="shared" si="0"/>
        <v>0014NOIR/ARGENT VIBRE</v>
      </c>
      <c r="F46" s="3" t="s">
        <v>29</v>
      </c>
      <c r="G46" s="6">
        <v>7670</v>
      </c>
      <c r="H46" s="3">
        <v>65</v>
      </c>
      <c r="I46" s="3" t="s">
        <v>42</v>
      </c>
      <c r="J46" s="1" t="s">
        <v>255</v>
      </c>
    </row>
    <row r="47" spans="1:10" hidden="1" x14ac:dyDescent="0.25">
      <c r="A47" s="2" t="s">
        <v>290</v>
      </c>
      <c r="B47" s="3" t="s">
        <v>37</v>
      </c>
      <c r="C47" s="3" t="s">
        <v>107</v>
      </c>
      <c r="D47" s="2" t="s">
        <v>300</v>
      </c>
      <c r="E47" s="5" t="str">
        <f t="shared" si="0"/>
        <v>201COGNAC</v>
      </c>
      <c r="F47" s="3" t="s">
        <v>23</v>
      </c>
      <c r="G47" s="6">
        <v>7670</v>
      </c>
      <c r="H47" s="3">
        <v>9</v>
      </c>
      <c r="I47" s="3" t="s">
        <v>122</v>
      </c>
      <c r="J47" s="1" t="s">
        <v>256</v>
      </c>
    </row>
    <row r="48" spans="1:10" hidden="1" x14ac:dyDescent="0.25">
      <c r="A48" s="2" t="s">
        <v>290</v>
      </c>
      <c r="B48" s="3" t="s">
        <v>37</v>
      </c>
      <c r="C48" s="3" t="s">
        <v>107</v>
      </c>
      <c r="D48" s="2" t="s">
        <v>300</v>
      </c>
      <c r="E48" s="5" t="str">
        <f t="shared" si="0"/>
        <v>201COGNAC</v>
      </c>
      <c r="F48" s="3" t="s">
        <v>25</v>
      </c>
      <c r="G48" s="6">
        <v>7670</v>
      </c>
      <c r="H48" s="3">
        <v>28</v>
      </c>
      <c r="I48" s="3" t="s">
        <v>123</v>
      </c>
      <c r="J48" s="1" t="s">
        <v>257</v>
      </c>
    </row>
    <row r="49" spans="1:10" hidden="1" x14ac:dyDescent="0.25">
      <c r="A49" s="2" t="s">
        <v>290</v>
      </c>
      <c r="B49" s="3" t="s">
        <v>37</v>
      </c>
      <c r="C49" s="3" t="s">
        <v>107</v>
      </c>
      <c r="D49" s="2" t="s">
        <v>300</v>
      </c>
      <c r="E49" s="5" t="str">
        <f t="shared" si="0"/>
        <v>201COGNAC</v>
      </c>
      <c r="F49" s="3" t="s">
        <v>27</v>
      </c>
      <c r="G49" s="6">
        <v>7670</v>
      </c>
      <c r="H49" s="3">
        <v>30</v>
      </c>
      <c r="I49" s="3" t="s">
        <v>124</v>
      </c>
      <c r="J49" s="1" t="s">
        <v>258</v>
      </c>
    </row>
    <row r="50" spans="1:10" hidden="1" x14ac:dyDescent="0.25">
      <c r="A50" s="2" t="s">
        <v>290</v>
      </c>
      <c r="B50" s="3" t="s">
        <v>37</v>
      </c>
      <c r="C50" s="3" t="s">
        <v>107</v>
      </c>
      <c r="D50" s="2" t="s">
        <v>300</v>
      </c>
      <c r="E50" s="5" t="str">
        <f t="shared" si="0"/>
        <v>201COGNAC</v>
      </c>
      <c r="F50" s="3" t="s">
        <v>29</v>
      </c>
      <c r="G50" s="6">
        <v>7670</v>
      </c>
      <c r="H50" s="3">
        <v>21</v>
      </c>
      <c r="I50" s="3" t="s">
        <v>125</v>
      </c>
      <c r="J50" s="1" t="s">
        <v>259</v>
      </c>
    </row>
    <row r="51" spans="1:10" hidden="1" x14ac:dyDescent="0.25">
      <c r="A51" s="2" t="s">
        <v>290</v>
      </c>
      <c r="B51" s="3" t="s">
        <v>106</v>
      </c>
      <c r="C51" s="3" t="s">
        <v>107</v>
      </c>
      <c r="D51" s="2" t="s">
        <v>300</v>
      </c>
      <c r="E51" s="5" t="str">
        <f t="shared" si="0"/>
        <v>201COGNAC</v>
      </c>
      <c r="F51" s="3" t="s">
        <v>23</v>
      </c>
      <c r="G51" s="6">
        <v>7673</v>
      </c>
      <c r="H51" s="3">
        <v>66</v>
      </c>
      <c r="I51" s="3" t="s">
        <v>108</v>
      </c>
      <c r="J51" s="1" t="s">
        <v>238</v>
      </c>
    </row>
    <row r="52" spans="1:10" hidden="1" x14ac:dyDescent="0.25">
      <c r="A52" s="2" t="s">
        <v>290</v>
      </c>
      <c r="B52" s="3" t="s">
        <v>106</v>
      </c>
      <c r="C52" s="3" t="s">
        <v>107</v>
      </c>
      <c r="D52" s="2" t="s">
        <v>300</v>
      </c>
      <c r="E52" s="5" t="str">
        <f t="shared" si="0"/>
        <v>201COGNAC</v>
      </c>
      <c r="F52" s="3" t="s">
        <v>25</v>
      </c>
      <c r="G52" s="6">
        <v>7673</v>
      </c>
      <c r="H52" s="3">
        <v>98</v>
      </c>
      <c r="I52" s="3" t="s">
        <v>109</v>
      </c>
      <c r="J52" s="1" t="s">
        <v>239</v>
      </c>
    </row>
    <row r="53" spans="1:10" hidden="1" x14ac:dyDescent="0.25">
      <c r="A53" s="2" t="s">
        <v>290</v>
      </c>
      <c r="B53" s="3" t="s">
        <v>106</v>
      </c>
      <c r="C53" s="3" t="s">
        <v>107</v>
      </c>
      <c r="D53" s="2" t="s">
        <v>300</v>
      </c>
      <c r="E53" s="5" t="str">
        <f t="shared" si="0"/>
        <v>201COGNAC</v>
      </c>
      <c r="F53" s="3" t="s">
        <v>27</v>
      </c>
      <c r="G53" s="6">
        <v>7673</v>
      </c>
      <c r="H53" s="3">
        <v>55</v>
      </c>
      <c r="I53" s="3" t="s">
        <v>110</v>
      </c>
      <c r="J53" s="1" t="s">
        <v>240</v>
      </c>
    </row>
    <row r="54" spans="1:10" hidden="1" x14ac:dyDescent="0.25">
      <c r="A54" s="2" t="s">
        <v>290</v>
      </c>
      <c r="B54" s="3" t="s">
        <v>106</v>
      </c>
      <c r="C54" s="3" t="s">
        <v>107</v>
      </c>
      <c r="D54" s="2" t="s">
        <v>300</v>
      </c>
      <c r="E54" s="5" t="str">
        <f t="shared" si="0"/>
        <v>201COGNAC</v>
      </c>
      <c r="F54" s="3" t="s">
        <v>29</v>
      </c>
      <c r="G54" s="6">
        <v>7673</v>
      </c>
      <c r="H54" s="3">
        <v>15</v>
      </c>
      <c r="I54" s="3" t="s">
        <v>111</v>
      </c>
      <c r="J54" s="1" t="s">
        <v>241</v>
      </c>
    </row>
    <row r="55" spans="1:10" hidden="1" x14ac:dyDescent="0.25">
      <c r="A55" s="2" t="s">
        <v>290</v>
      </c>
      <c r="B55" s="3" t="s">
        <v>97</v>
      </c>
      <c r="C55" s="3" t="s">
        <v>38</v>
      </c>
      <c r="D55" s="5" t="s">
        <v>291</v>
      </c>
      <c r="E55" s="5" t="str">
        <f t="shared" si="0"/>
        <v>0014NOIR/ARGENT VIBRE</v>
      </c>
      <c r="F55" s="3" t="s">
        <v>23</v>
      </c>
      <c r="G55" s="6">
        <v>7674</v>
      </c>
      <c r="H55" s="3">
        <v>17</v>
      </c>
      <c r="I55" s="3" t="s">
        <v>98</v>
      </c>
      <c r="J55" s="1" t="s">
        <v>230</v>
      </c>
    </row>
    <row r="56" spans="1:10" hidden="1" x14ac:dyDescent="0.25">
      <c r="A56" s="2" t="s">
        <v>290</v>
      </c>
      <c r="B56" s="3" t="s">
        <v>97</v>
      </c>
      <c r="C56" s="3" t="s">
        <v>38</v>
      </c>
      <c r="D56" s="5" t="s">
        <v>291</v>
      </c>
      <c r="E56" s="5" t="str">
        <f t="shared" si="0"/>
        <v>0014NOIR/ARGENT VIBRE</v>
      </c>
      <c r="F56" s="3" t="s">
        <v>25</v>
      </c>
      <c r="G56" s="6">
        <v>7674</v>
      </c>
      <c r="H56" s="3">
        <v>32</v>
      </c>
      <c r="I56" s="3" t="s">
        <v>99</v>
      </c>
      <c r="J56" s="1" t="s">
        <v>231</v>
      </c>
    </row>
    <row r="57" spans="1:10" hidden="1" x14ac:dyDescent="0.25">
      <c r="A57" s="2" t="s">
        <v>290</v>
      </c>
      <c r="B57" s="3" t="s">
        <v>97</v>
      </c>
      <c r="C57" s="3" t="s">
        <v>38</v>
      </c>
      <c r="D57" s="5" t="s">
        <v>291</v>
      </c>
      <c r="E57" s="5" t="str">
        <f t="shared" si="0"/>
        <v>0014NOIR/ARGENT VIBRE</v>
      </c>
      <c r="F57" s="3" t="s">
        <v>27</v>
      </c>
      <c r="G57" s="6">
        <v>7674</v>
      </c>
      <c r="H57" s="3">
        <v>23</v>
      </c>
      <c r="I57" s="3" t="s">
        <v>100</v>
      </c>
      <c r="J57" s="1" t="s">
        <v>232</v>
      </c>
    </row>
    <row r="58" spans="1:10" hidden="1" x14ac:dyDescent="0.25">
      <c r="A58" s="2" t="s">
        <v>290</v>
      </c>
      <c r="B58" s="3" t="s">
        <v>97</v>
      </c>
      <c r="C58" s="3" t="s">
        <v>38</v>
      </c>
      <c r="D58" s="5" t="s">
        <v>291</v>
      </c>
      <c r="E58" s="5" t="str">
        <f t="shared" si="0"/>
        <v>0014NOIR/ARGENT VIBRE</v>
      </c>
      <c r="F58" s="3" t="s">
        <v>29</v>
      </c>
      <c r="G58" s="6">
        <v>7674</v>
      </c>
      <c r="H58" s="3">
        <v>6</v>
      </c>
      <c r="I58" s="3" t="s">
        <v>101</v>
      </c>
      <c r="J58" s="1" t="s">
        <v>233</v>
      </c>
    </row>
    <row r="59" spans="1:10" hidden="1" x14ac:dyDescent="0.25">
      <c r="A59" s="2" t="s">
        <v>290</v>
      </c>
      <c r="B59" s="3" t="s">
        <v>97</v>
      </c>
      <c r="C59" s="3" t="s">
        <v>54</v>
      </c>
      <c r="D59" s="2" t="s">
        <v>292</v>
      </c>
      <c r="E59" s="5" t="str">
        <f t="shared" si="0"/>
        <v>0015NOIR/LAITON VIBRE</v>
      </c>
      <c r="F59" s="3" t="s">
        <v>23</v>
      </c>
      <c r="G59" s="6">
        <v>7674</v>
      </c>
      <c r="H59" s="3">
        <v>198</v>
      </c>
      <c r="I59" s="3" t="s">
        <v>102</v>
      </c>
      <c r="J59" s="1" t="s">
        <v>234</v>
      </c>
    </row>
    <row r="60" spans="1:10" hidden="1" x14ac:dyDescent="0.25">
      <c r="A60" s="2" t="s">
        <v>290</v>
      </c>
      <c r="B60" s="3" t="s">
        <v>97</v>
      </c>
      <c r="C60" s="3" t="s">
        <v>54</v>
      </c>
      <c r="D60" s="2" t="s">
        <v>292</v>
      </c>
      <c r="E60" s="5" t="str">
        <f t="shared" si="0"/>
        <v>0015NOIR/LAITON VIBRE</v>
      </c>
      <c r="F60" s="3" t="s">
        <v>25</v>
      </c>
      <c r="G60" s="6">
        <v>7674</v>
      </c>
      <c r="H60" s="3">
        <v>304</v>
      </c>
      <c r="I60" s="3" t="s">
        <v>103</v>
      </c>
      <c r="J60" s="1" t="s">
        <v>235</v>
      </c>
    </row>
    <row r="61" spans="1:10" hidden="1" x14ac:dyDescent="0.25">
      <c r="A61" s="2" t="s">
        <v>290</v>
      </c>
      <c r="B61" s="3" t="s">
        <v>97</v>
      </c>
      <c r="C61" s="3" t="s">
        <v>54</v>
      </c>
      <c r="D61" s="2" t="s">
        <v>292</v>
      </c>
      <c r="E61" s="5" t="str">
        <f t="shared" si="0"/>
        <v>0015NOIR/LAITON VIBRE</v>
      </c>
      <c r="F61" s="3" t="s">
        <v>27</v>
      </c>
      <c r="G61" s="6">
        <v>7674</v>
      </c>
      <c r="H61" s="3">
        <v>196</v>
      </c>
      <c r="I61" s="3" t="s">
        <v>104</v>
      </c>
      <c r="J61" s="1" t="s">
        <v>236</v>
      </c>
    </row>
    <row r="62" spans="1:10" hidden="1" x14ac:dyDescent="0.25">
      <c r="A62" s="2" t="s">
        <v>290</v>
      </c>
      <c r="B62" s="3" t="s">
        <v>97</v>
      </c>
      <c r="C62" s="3" t="s">
        <v>54</v>
      </c>
      <c r="D62" s="2" t="s">
        <v>292</v>
      </c>
      <c r="E62" s="5" t="str">
        <f t="shared" si="0"/>
        <v>0015NOIR/LAITON VIBRE</v>
      </c>
      <c r="F62" s="3" t="s">
        <v>29</v>
      </c>
      <c r="G62" s="6">
        <v>7674</v>
      </c>
      <c r="H62" s="3">
        <v>70</v>
      </c>
      <c r="I62" s="3" t="s">
        <v>105</v>
      </c>
      <c r="J62" s="1" t="s">
        <v>237</v>
      </c>
    </row>
    <row r="63" spans="1:10" hidden="1" x14ac:dyDescent="0.25">
      <c r="A63" s="2" t="s">
        <v>290</v>
      </c>
      <c r="B63" s="3" t="s">
        <v>21</v>
      </c>
      <c r="C63" s="3" t="s">
        <v>10</v>
      </c>
      <c r="D63" s="2" t="s">
        <v>296</v>
      </c>
      <c r="E63" s="5" t="str">
        <f t="shared" si="0"/>
        <v>001BLACK</v>
      </c>
      <c r="F63" s="3" t="s">
        <v>23</v>
      </c>
      <c r="G63" s="2" t="s">
        <v>301</v>
      </c>
      <c r="H63" s="3">
        <v>21</v>
      </c>
      <c r="I63" s="3" t="s">
        <v>31</v>
      </c>
      <c r="J63" s="1" t="s">
        <v>146</v>
      </c>
    </row>
    <row r="64" spans="1:10" hidden="1" x14ac:dyDescent="0.25">
      <c r="A64" s="2" t="s">
        <v>290</v>
      </c>
      <c r="B64" s="3" t="s">
        <v>21</v>
      </c>
      <c r="C64" s="3" t="s">
        <v>10</v>
      </c>
      <c r="D64" s="2" t="s">
        <v>296</v>
      </c>
      <c r="E64" s="5" t="str">
        <f t="shared" si="0"/>
        <v>001BLACK</v>
      </c>
      <c r="F64" s="3" t="s">
        <v>25</v>
      </c>
      <c r="G64" s="2" t="s">
        <v>301</v>
      </c>
      <c r="H64" s="3">
        <v>18</v>
      </c>
      <c r="I64" s="3" t="s">
        <v>32</v>
      </c>
      <c r="J64" s="1" t="s">
        <v>147</v>
      </c>
    </row>
    <row r="65" spans="1:10" hidden="1" x14ac:dyDescent="0.25">
      <c r="A65" s="2" t="s">
        <v>290</v>
      </c>
      <c r="B65" s="3" t="s">
        <v>21</v>
      </c>
      <c r="C65" s="3" t="s">
        <v>10</v>
      </c>
      <c r="D65" s="2" t="s">
        <v>296</v>
      </c>
      <c r="E65" s="5" t="str">
        <f t="shared" si="0"/>
        <v>001BLACK</v>
      </c>
      <c r="F65" s="3" t="s">
        <v>27</v>
      </c>
      <c r="G65" s="2" t="s">
        <v>301</v>
      </c>
      <c r="H65" s="3">
        <v>8</v>
      </c>
      <c r="I65" s="3" t="s">
        <v>33</v>
      </c>
      <c r="J65" s="1" t="s">
        <v>148</v>
      </c>
    </row>
    <row r="66" spans="1:10" hidden="1" x14ac:dyDescent="0.25">
      <c r="A66" s="2" t="s">
        <v>290</v>
      </c>
      <c r="B66" s="3" t="s">
        <v>21</v>
      </c>
      <c r="C66" s="3" t="s">
        <v>10</v>
      </c>
      <c r="D66" s="2" t="s">
        <v>296</v>
      </c>
      <c r="E66" s="5" t="str">
        <f t="shared" si="0"/>
        <v>001BLACK</v>
      </c>
      <c r="F66" s="3" t="s">
        <v>29</v>
      </c>
      <c r="G66" s="2" t="s">
        <v>301</v>
      </c>
      <c r="H66" s="3">
        <v>3</v>
      </c>
      <c r="I66" s="3" t="s">
        <v>34</v>
      </c>
      <c r="J66" s="1" t="s">
        <v>149</v>
      </c>
    </row>
    <row r="67" spans="1:10" hidden="1" x14ac:dyDescent="0.25">
      <c r="A67" s="2" t="s">
        <v>290</v>
      </c>
      <c r="B67" s="3" t="s">
        <v>21</v>
      </c>
      <c r="C67" s="3" t="s">
        <v>10</v>
      </c>
      <c r="D67" s="2" t="s">
        <v>296</v>
      </c>
      <c r="E67" s="5" t="str">
        <f t="shared" ref="E67:E130" si="1">_xlfn.CONCAT(C67,D67)</f>
        <v>001BLACK</v>
      </c>
      <c r="F67" s="3" t="s">
        <v>23</v>
      </c>
      <c r="G67" s="2" t="s">
        <v>302</v>
      </c>
      <c r="H67" s="3">
        <v>14</v>
      </c>
      <c r="I67" s="3" t="s">
        <v>31</v>
      </c>
      <c r="J67" s="1" t="s">
        <v>182</v>
      </c>
    </row>
    <row r="68" spans="1:10" hidden="1" x14ac:dyDescent="0.25">
      <c r="A68" s="2" t="s">
        <v>290</v>
      </c>
      <c r="B68" s="3" t="s">
        <v>21</v>
      </c>
      <c r="C68" s="3" t="s">
        <v>10</v>
      </c>
      <c r="D68" s="2" t="s">
        <v>296</v>
      </c>
      <c r="E68" s="5" t="str">
        <f t="shared" si="1"/>
        <v>001BLACK</v>
      </c>
      <c r="F68" s="3" t="s">
        <v>25</v>
      </c>
      <c r="G68" s="2" t="s">
        <v>302</v>
      </c>
      <c r="H68" s="3">
        <v>6</v>
      </c>
      <c r="I68" s="3" t="s">
        <v>32</v>
      </c>
      <c r="J68" s="1" t="s">
        <v>183</v>
      </c>
    </row>
    <row r="69" spans="1:10" hidden="1" x14ac:dyDescent="0.25">
      <c r="A69" s="2" t="s">
        <v>290</v>
      </c>
      <c r="B69" s="3" t="s">
        <v>21</v>
      </c>
      <c r="C69" s="3" t="s">
        <v>10</v>
      </c>
      <c r="D69" s="2" t="s">
        <v>296</v>
      </c>
      <c r="E69" s="5" t="str">
        <f t="shared" si="1"/>
        <v>001BLACK</v>
      </c>
      <c r="F69" s="3" t="s">
        <v>23</v>
      </c>
      <c r="G69" s="6">
        <v>7675</v>
      </c>
      <c r="H69" s="3">
        <v>117</v>
      </c>
      <c r="I69" s="3" t="s">
        <v>31</v>
      </c>
      <c r="J69" s="1" t="s">
        <v>226</v>
      </c>
    </row>
    <row r="70" spans="1:10" hidden="1" x14ac:dyDescent="0.25">
      <c r="A70" s="2" t="s">
        <v>290</v>
      </c>
      <c r="B70" s="3" t="s">
        <v>21</v>
      </c>
      <c r="C70" s="3" t="s">
        <v>10</v>
      </c>
      <c r="D70" s="2" t="s">
        <v>296</v>
      </c>
      <c r="E70" s="5" t="str">
        <f t="shared" si="1"/>
        <v>001BLACK</v>
      </c>
      <c r="F70" s="3" t="s">
        <v>25</v>
      </c>
      <c r="G70" s="6">
        <v>7675</v>
      </c>
      <c r="H70" s="3">
        <v>240</v>
      </c>
      <c r="I70" s="3" t="s">
        <v>32</v>
      </c>
      <c r="J70" s="1" t="s">
        <v>227</v>
      </c>
    </row>
    <row r="71" spans="1:10" hidden="1" x14ac:dyDescent="0.25">
      <c r="A71" s="2" t="s">
        <v>290</v>
      </c>
      <c r="B71" s="3" t="s">
        <v>21</v>
      </c>
      <c r="C71" s="3" t="s">
        <v>10</v>
      </c>
      <c r="D71" s="2" t="s">
        <v>296</v>
      </c>
      <c r="E71" s="5" t="str">
        <f t="shared" si="1"/>
        <v>001BLACK</v>
      </c>
      <c r="F71" s="3" t="s">
        <v>27</v>
      </c>
      <c r="G71" s="6">
        <v>7675</v>
      </c>
      <c r="H71" s="3">
        <v>204</v>
      </c>
      <c r="I71" s="3" t="s">
        <v>33</v>
      </c>
      <c r="J71" s="1" t="s">
        <v>228</v>
      </c>
    </row>
    <row r="72" spans="1:10" hidden="1" x14ac:dyDescent="0.25">
      <c r="A72" s="2" t="s">
        <v>290</v>
      </c>
      <c r="B72" s="3" t="s">
        <v>21</v>
      </c>
      <c r="C72" s="3" t="s">
        <v>10</v>
      </c>
      <c r="D72" s="2" t="s">
        <v>296</v>
      </c>
      <c r="E72" s="5" t="str">
        <f t="shared" si="1"/>
        <v>001BLACK</v>
      </c>
      <c r="F72" s="3" t="s">
        <v>29</v>
      </c>
      <c r="G72" s="6">
        <v>7675</v>
      </c>
      <c r="H72" s="3">
        <v>91</v>
      </c>
      <c r="I72" s="3" t="s">
        <v>34</v>
      </c>
      <c r="J72" s="1" t="s">
        <v>229</v>
      </c>
    </row>
    <row r="73" spans="1:10" hidden="1" x14ac:dyDescent="0.25">
      <c r="A73" s="2" t="s">
        <v>290</v>
      </c>
      <c r="B73" s="3" t="s">
        <v>21</v>
      </c>
      <c r="C73" s="3" t="s">
        <v>22</v>
      </c>
      <c r="D73" s="2" t="s">
        <v>297</v>
      </c>
      <c r="E73" s="5" t="str">
        <f t="shared" si="1"/>
        <v>2221CHOCOLATE BROWN</v>
      </c>
      <c r="F73" s="3" t="s">
        <v>23</v>
      </c>
      <c r="G73" s="2" t="s">
        <v>301</v>
      </c>
      <c r="H73" s="3">
        <v>9</v>
      </c>
      <c r="I73" s="3" t="s">
        <v>24</v>
      </c>
      <c r="J73" s="1" t="s">
        <v>142</v>
      </c>
    </row>
    <row r="74" spans="1:10" hidden="1" x14ac:dyDescent="0.25">
      <c r="A74" s="2" t="s">
        <v>290</v>
      </c>
      <c r="B74" s="3" t="s">
        <v>21</v>
      </c>
      <c r="C74" s="3" t="s">
        <v>22</v>
      </c>
      <c r="D74" s="2" t="s">
        <v>297</v>
      </c>
      <c r="E74" s="5" t="str">
        <f t="shared" si="1"/>
        <v>2221CHOCOLATE BROWN</v>
      </c>
      <c r="F74" s="3" t="s">
        <v>25</v>
      </c>
      <c r="G74" s="2" t="s">
        <v>301</v>
      </c>
      <c r="H74" s="3">
        <v>10</v>
      </c>
      <c r="I74" s="3" t="s">
        <v>26</v>
      </c>
      <c r="J74" s="1" t="s">
        <v>143</v>
      </c>
    </row>
    <row r="75" spans="1:10" hidden="1" x14ac:dyDescent="0.25">
      <c r="A75" s="2" t="s">
        <v>290</v>
      </c>
      <c r="B75" s="3" t="s">
        <v>21</v>
      </c>
      <c r="C75" s="3" t="s">
        <v>22</v>
      </c>
      <c r="D75" s="2" t="s">
        <v>297</v>
      </c>
      <c r="E75" s="5" t="str">
        <f t="shared" si="1"/>
        <v>2221CHOCOLATE BROWN</v>
      </c>
      <c r="F75" s="3" t="s">
        <v>27</v>
      </c>
      <c r="G75" s="2" t="s">
        <v>301</v>
      </c>
      <c r="H75" s="3">
        <v>5</v>
      </c>
      <c r="I75" s="3" t="s">
        <v>28</v>
      </c>
      <c r="J75" s="1" t="s">
        <v>144</v>
      </c>
    </row>
    <row r="76" spans="1:10" hidden="1" x14ac:dyDescent="0.25">
      <c r="A76" s="2" t="s">
        <v>290</v>
      </c>
      <c r="B76" s="3" t="s">
        <v>21</v>
      </c>
      <c r="C76" s="3" t="s">
        <v>22</v>
      </c>
      <c r="D76" s="2" t="s">
        <v>297</v>
      </c>
      <c r="E76" s="5" t="str">
        <f t="shared" si="1"/>
        <v>2221CHOCOLATE BROWN</v>
      </c>
      <c r="F76" s="3" t="s">
        <v>29</v>
      </c>
      <c r="G76" s="2" t="s">
        <v>301</v>
      </c>
      <c r="H76" s="3">
        <v>2</v>
      </c>
      <c r="I76" s="3" t="s">
        <v>30</v>
      </c>
      <c r="J76" s="1" t="s">
        <v>145</v>
      </c>
    </row>
    <row r="77" spans="1:10" hidden="1" x14ac:dyDescent="0.25">
      <c r="A77" s="2" t="s">
        <v>290</v>
      </c>
      <c r="B77" s="3" t="s">
        <v>21</v>
      </c>
      <c r="C77" s="3" t="s">
        <v>22</v>
      </c>
      <c r="D77" s="2" t="s">
        <v>297</v>
      </c>
      <c r="E77" s="5" t="str">
        <f t="shared" si="1"/>
        <v>2221CHOCOLATE BROWN</v>
      </c>
      <c r="F77" s="3" t="s">
        <v>23</v>
      </c>
      <c r="G77" s="6">
        <v>7675</v>
      </c>
      <c r="H77" s="3">
        <v>135</v>
      </c>
      <c r="I77" s="3" t="s">
        <v>24</v>
      </c>
      <c r="J77" s="1" t="s">
        <v>222</v>
      </c>
    </row>
    <row r="78" spans="1:10" hidden="1" x14ac:dyDescent="0.25">
      <c r="A78" s="2" t="s">
        <v>290</v>
      </c>
      <c r="B78" s="3" t="s">
        <v>21</v>
      </c>
      <c r="C78" s="3" t="s">
        <v>22</v>
      </c>
      <c r="D78" s="2" t="s">
        <v>297</v>
      </c>
      <c r="E78" s="5" t="str">
        <f t="shared" si="1"/>
        <v>2221CHOCOLATE BROWN</v>
      </c>
      <c r="F78" s="3" t="s">
        <v>25</v>
      </c>
      <c r="G78" s="6">
        <v>7675</v>
      </c>
      <c r="H78" s="3">
        <v>287</v>
      </c>
      <c r="I78" s="3" t="s">
        <v>26</v>
      </c>
      <c r="J78" s="1" t="s">
        <v>223</v>
      </c>
    </row>
    <row r="79" spans="1:10" hidden="1" x14ac:dyDescent="0.25">
      <c r="A79" s="2" t="s">
        <v>290</v>
      </c>
      <c r="B79" s="3" t="s">
        <v>21</v>
      </c>
      <c r="C79" s="3" t="s">
        <v>22</v>
      </c>
      <c r="D79" s="2" t="s">
        <v>297</v>
      </c>
      <c r="E79" s="5" t="str">
        <f t="shared" si="1"/>
        <v>2221CHOCOLATE BROWN</v>
      </c>
      <c r="F79" s="3" t="s">
        <v>27</v>
      </c>
      <c r="G79" s="6">
        <v>7675</v>
      </c>
      <c r="H79" s="3">
        <v>235</v>
      </c>
      <c r="I79" s="3" t="s">
        <v>28</v>
      </c>
      <c r="J79" s="1" t="s">
        <v>224</v>
      </c>
    </row>
    <row r="80" spans="1:10" hidden="1" x14ac:dyDescent="0.25">
      <c r="A80" s="2" t="s">
        <v>290</v>
      </c>
      <c r="B80" s="3" t="s">
        <v>21</v>
      </c>
      <c r="C80" s="3" t="s">
        <v>22</v>
      </c>
      <c r="D80" s="2" t="s">
        <v>297</v>
      </c>
      <c r="E80" s="5" t="str">
        <f t="shared" si="1"/>
        <v>2221CHOCOLATE BROWN</v>
      </c>
      <c r="F80" s="3" t="s">
        <v>29</v>
      </c>
      <c r="G80" s="6">
        <v>7675</v>
      </c>
      <c r="H80" s="3">
        <v>120</v>
      </c>
      <c r="I80" s="3" t="s">
        <v>30</v>
      </c>
      <c r="J80" s="1" t="s">
        <v>225</v>
      </c>
    </row>
    <row r="81" spans="1:10" hidden="1" x14ac:dyDescent="0.25">
      <c r="A81" s="2" t="s">
        <v>290</v>
      </c>
      <c r="B81" s="3" t="s">
        <v>50</v>
      </c>
      <c r="C81" s="3" t="s">
        <v>10</v>
      </c>
      <c r="D81" s="3" t="s">
        <v>296</v>
      </c>
      <c r="E81" s="5" t="str">
        <f t="shared" si="1"/>
        <v>001BLACK</v>
      </c>
      <c r="F81" s="3" t="s">
        <v>8</v>
      </c>
      <c r="G81" s="2" t="s">
        <v>304</v>
      </c>
      <c r="H81" s="3">
        <v>7</v>
      </c>
      <c r="I81" s="3" t="s">
        <v>51</v>
      </c>
      <c r="J81" s="1" t="s">
        <v>159</v>
      </c>
    </row>
    <row r="82" spans="1:10" hidden="1" x14ac:dyDescent="0.25">
      <c r="A82" s="2" t="s">
        <v>290</v>
      </c>
      <c r="B82" s="3" t="s">
        <v>50</v>
      </c>
      <c r="C82" s="3" t="s">
        <v>10</v>
      </c>
      <c r="D82" s="3" t="s">
        <v>296</v>
      </c>
      <c r="E82" s="5" t="str">
        <f t="shared" si="1"/>
        <v>001BLACK</v>
      </c>
      <c r="F82" s="3" t="s">
        <v>8</v>
      </c>
      <c r="G82" s="6">
        <v>7666</v>
      </c>
      <c r="H82" s="3">
        <v>28</v>
      </c>
      <c r="I82" s="3" t="s">
        <v>51</v>
      </c>
      <c r="J82" s="1" t="s">
        <v>268</v>
      </c>
    </row>
    <row r="83" spans="1:10" hidden="1" x14ac:dyDescent="0.25">
      <c r="A83" s="2" t="s">
        <v>290</v>
      </c>
      <c r="B83" s="3" t="s">
        <v>50</v>
      </c>
      <c r="C83" s="3" t="s">
        <v>47</v>
      </c>
      <c r="D83" s="3" t="s">
        <v>303</v>
      </c>
      <c r="E83" s="5" t="str">
        <f t="shared" si="1"/>
        <v>718VANILLA CREAM</v>
      </c>
      <c r="F83" s="3" t="s">
        <v>8</v>
      </c>
      <c r="G83" s="2" t="s">
        <v>305</v>
      </c>
      <c r="H83" s="3">
        <v>7</v>
      </c>
      <c r="I83" s="3" t="s">
        <v>52</v>
      </c>
      <c r="J83" s="1" t="s">
        <v>160</v>
      </c>
    </row>
    <row r="84" spans="1:10" hidden="1" x14ac:dyDescent="0.25">
      <c r="A84" s="2" t="s">
        <v>290</v>
      </c>
      <c r="B84" s="3" t="s">
        <v>50</v>
      </c>
      <c r="C84" s="3" t="s">
        <v>47</v>
      </c>
      <c r="D84" s="3" t="s">
        <v>303</v>
      </c>
      <c r="E84" s="5" t="str">
        <f t="shared" si="1"/>
        <v>718VANILLA CREAM</v>
      </c>
      <c r="F84" s="3" t="s">
        <v>8</v>
      </c>
      <c r="G84" s="2" t="s">
        <v>304</v>
      </c>
      <c r="H84" s="3">
        <v>24</v>
      </c>
      <c r="I84" s="3" t="s">
        <v>52</v>
      </c>
      <c r="J84" s="1" t="s">
        <v>189</v>
      </c>
    </row>
    <row r="85" spans="1:10" hidden="1" x14ac:dyDescent="0.25">
      <c r="A85" s="2" t="s">
        <v>290</v>
      </c>
      <c r="B85" s="3" t="s">
        <v>50</v>
      </c>
      <c r="C85" s="3" t="s">
        <v>47</v>
      </c>
      <c r="D85" s="3" t="s">
        <v>303</v>
      </c>
      <c r="E85" s="5" t="str">
        <f t="shared" si="1"/>
        <v>718VANILLA CREAM</v>
      </c>
      <c r="F85" s="3" t="s">
        <v>8</v>
      </c>
      <c r="G85" s="6">
        <v>7666</v>
      </c>
      <c r="H85" s="3">
        <v>71</v>
      </c>
      <c r="I85" s="3" t="s">
        <v>52</v>
      </c>
      <c r="J85" s="1" t="s">
        <v>269</v>
      </c>
    </row>
    <row r="86" spans="1:10" hidden="1" x14ac:dyDescent="0.25">
      <c r="A86" s="2" t="s">
        <v>290</v>
      </c>
      <c r="B86" s="3" t="s">
        <v>50</v>
      </c>
      <c r="C86" s="3" t="s">
        <v>77</v>
      </c>
      <c r="D86" s="3" t="s">
        <v>306</v>
      </c>
      <c r="E86" s="5" t="str">
        <f t="shared" si="1"/>
        <v>A237MOCHA</v>
      </c>
      <c r="F86" s="3" t="s">
        <v>8</v>
      </c>
      <c r="G86" s="2" t="s">
        <v>305</v>
      </c>
      <c r="H86" s="3">
        <v>30</v>
      </c>
      <c r="I86" s="3" t="s">
        <v>78</v>
      </c>
      <c r="J86" s="1" t="s">
        <v>188</v>
      </c>
    </row>
    <row r="87" spans="1:10" hidden="1" x14ac:dyDescent="0.25">
      <c r="A87" s="2" t="s">
        <v>290</v>
      </c>
      <c r="B87" s="3" t="s">
        <v>50</v>
      </c>
      <c r="C87" s="3" t="s">
        <v>77</v>
      </c>
      <c r="D87" s="3" t="s">
        <v>306</v>
      </c>
      <c r="E87" s="5" t="str">
        <f t="shared" si="1"/>
        <v>A237MOCHA</v>
      </c>
      <c r="F87" s="3" t="s">
        <v>8</v>
      </c>
      <c r="G87" s="6">
        <v>7666</v>
      </c>
      <c r="H87" s="3">
        <v>95</v>
      </c>
      <c r="I87" s="3" t="s">
        <v>78</v>
      </c>
      <c r="J87" s="1" t="s">
        <v>267</v>
      </c>
    </row>
    <row r="88" spans="1:10" hidden="1" x14ac:dyDescent="0.25">
      <c r="A88" s="2" t="s">
        <v>290</v>
      </c>
      <c r="B88" s="3" t="s">
        <v>94</v>
      </c>
      <c r="C88" s="3" t="s">
        <v>10</v>
      </c>
      <c r="D88" s="3" t="s">
        <v>296</v>
      </c>
      <c r="E88" s="5" t="str">
        <f t="shared" si="1"/>
        <v>001BLACK</v>
      </c>
      <c r="F88" s="3" t="s">
        <v>8</v>
      </c>
      <c r="G88" s="6">
        <v>7676</v>
      </c>
      <c r="H88" s="3">
        <v>13</v>
      </c>
      <c r="I88" s="3" t="s">
        <v>96</v>
      </c>
      <c r="J88" s="1" t="s">
        <v>221</v>
      </c>
    </row>
    <row r="89" spans="1:10" hidden="1" x14ac:dyDescent="0.25">
      <c r="A89" s="2" t="s">
        <v>290</v>
      </c>
      <c r="B89" s="3" t="s">
        <v>94</v>
      </c>
      <c r="C89" s="3" t="s">
        <v>22</v>
      </c>
      <c r="D89" s="3" t="s">
        <v>297</v>
      </c>
      <c r="E89" s="5" t="str">
        <f t="shared" si="1"/>
        <v>2221CHOCOLATE BROWN</v>
      </c>
      <c r="F89" s="3" t="s">
        <v>8</v>
      </c>
      <c r="G89" s="6">
        <v>7676</v>
      </c>
      <c r="H89" s="3">
        <v>135</v>
      </c>
      <c r="I89" s="3" t="s">
        <v>95</v>
      </c>
      <c r="J89" s="1" t="s">
        <v>220</v>
      </c>
    </row>
    <row r="90" spans="1:10" hidden="1" x14ac:dyDescent="0.25">
      <c r="A90" s="2" t="s">
        <v>290</v>
      </c>
      <c r="B90" s="3" t="s">
        <v>35</v>
      </c>
      <c r="C90" s="3" t="s">
        <v>10</v>
      </c>
      <c r="D90" s="3" t="s">
        <v>296</v>
      </c>
      <c r="E90" s="5" t="str">
        <f t="shared" si="1"/>
        <v>001BLACK</v>
      </c>
      <c r="F90" s="3" t="s">
        <v>8</v>
      </c>
      <c r="G90" s="2" t="s">
        <v>307</v>
      </c>
      <c r="H90" s="3">
        <v>17</v>
      </c>
      <c r="I90" s="3" t="s">
        <v>36</v>
      </c>
      <c r="J90" s="1" t="s">
        <v>150</v>
      </c>
    </row>
    <row r="91" spans="1:10" hidden="1" x14ac:dyDescent="0.25">
      <c r="A91" s="2" t="s">
        <v>290</v>
      </c>
      <c r="B91" s="3" t="s">
        <v>35</v>
      </c>
      <c r="C91" s="3" t="s">
        <v>10</v>
      </c>
      <c r="D91" s="3" t="s">
        <v>296</v>
      </c>
      <c r="E91" s="5" t="str">
        <f t="shared" si="1"/>
        <v>001BLACK</v>
      </c>
      <c r="F91" s="3" t="s">
        <v>8</v>
      </c>
      <c r="G91" s="6">
        <v>7671</v>
      </c>
      <c r="H91" s="3">
        <v>104</v>
      </c>
      <c r="I91" s="3" t="s">
        <v>36</v>
      </c>
      <c r="J91" s="1" t="s">
        <v>251</v>
      </c>
    </row>
    <row r="92" spans="1:10" hidden="1" x14ac:dyDescent="0.25">
      <c r="A92" s="2" t="s">
        <v>290</v>
      </c>
      <c r="B92" s="3" t="s">
        <v>35</v>
      </c>
      <c r="C92" s="3" t="s">
        <v>77</v>
      </c>
      <c r="D92" s="3" t="s">
        <v>306</v>
      </c>
      <c r="E92" s="5" t="str">
        <f t="shared" si="1"/>
        <v>A237MOCHA</v>
      </c>
      <c r="F92" s="3" t="s">
        <v>8</v>
      </c>
      <c r="G92" s="6">
        <v>7671</v>
      </c>
      <c r="H92" s="3">
        <v>26</v>
      </c>
      <c r="I92" s="3" t="s">
        <v>121</v>
      </c>
      <c r="J92" s="1" t="s">
        <v>250</v>
      </c>
    </row>
    <row r="93" spans="1:10" hidden="1" x14ac:dyDescent="0.25">
      <c r="A93" s="2" t="s">
        <v>290</v>
      </c>
      <c r="B93" s="3" t="s">
        <v>46</v>
      </c>
      <c r="C93" s="3" t="s">
        <v>10</v>
      </c>
      <c r="D93" s="3" t="s">
        <v>296</v>
      </c>
      <c r="E93" s="5" t="str">
        <f t="shared" si="1"/>
        <v>001BLACK</v>
      </c>
      <c r="F93" s="3" t="s">
        <v>8</v>
      </c>
      <c r="G93" s="2" t="s">
        <v>308</v>
      </c>
      <c r="H93" s="3">
        <v>24</v>
      </c>
      <c r="I93" s="3" t="s">
        <v>49</v>
      </c>
      <c r="J93" s="1" t="s">
        <v>158</v>
      </c>
    </row>
    <row r="94" spans="1:10" hidden="1" x14ac:dyDescent="0.25">
      <c r="A94" s="2" t="s">
        <v>290</v>
      </c>
      <c r="B94" s="3" t="s">
        <v>46</v>
      </c>
      <c r="C94" s="3" t="s">
        <v>10</v>
      </c>
      <c r="D94" s="3" t="s">
        <v>296</v>
      </c>
      <c r="E94" s="5" t="str">
        <f t="shared" si="1"/>
        <v>001BLACK</v>
      </c>
      <c r="F94" s="3" t="s">
        <v>8</v>
      </c>
      <c r="G94" s="6">
        <v>7667</v>
      </c>
      <c r="H94" s="3">
        <v>145</v>
      </c>
      <c r="I94" s="3" t="s">
        <v>49</v>
      </c>
      <c r="J94" s="1" t="s">
        <v>264</v>
      </c>
    </row>
    <row r="95" spans="1:10" hidden="1" x14ac:dyDescent="0.25">
      <c r="A95" s="2" t="s">
        <v>290</v>
      </c>
      <c r="B95" s="3" t="s">
        <v>46</v>
      </c>
      <c r="C95" s="3" t="s">
        <v>47</v>
      </c>
      <c r="D95" s="3" t="s">
        <v>303</v>
      </c>
      <c r="E95" s="5" t="str">
        <f t="shared" si="1"/>
        <v>718VANILLA CREAM</v>
      </c>
      <c r="F95" s="3" t="s">
        <v>8</v>
      </c>
      <c r="G95" s="2" t="s">
        <v>308</v>
      </c>
      <c r="H95" s="3">
        <v>24</v>
      </c>
      <c r="I95" s="3" t="s">
        <v>48</v>
      </c>
      <c r="J95" s="1" t="s">
        <v>157</v>
      </c>
    </row>
    <row r="96" spans="1:10" hidden="1" x14ac:dyDescent="0.25">
      <c r="A96" s="2" t="s">
        <v>290</v>
      </c>
      <c r="B96" s="3" t="s">
        <v>46</v>
      </c>
      <c r="C96" s="3" t="s">
        <v>47</v>
      </c>
      <c r="D96" s="3" t="s">
        <v>303</v>
      </c>
      <c r="E96" s="5" t="str">
        <f t="shared" si="1"/>
        <v>718VANILLA CREAM</v>
      </c>
      <c r="F96" s="3" t="s">
        <v>8</v>
      </c>
      <c r="G96" s="2" t="s">
        <v>309</v>
      </c>
      <c r="H96" s="3">
        <v>38</v>
      </c>
      <c r="I96" s="3" t="s">
        <v>48</v>
      </c>
      <c r="J96" s="1" t="s">
        <v>187</v>
      </c>
    </row>
    <row r="97" spans="1:10" hidden="1" x14ac:dyDescent="0.25">
      <c r="A97" s="2" t="s">
        <v>290</v>
      </c>
      <c r="B97" s="3" t="s">
        <v>46</v>
      </c>
      <c r="C97" s="3" t="s">
        <v>47</v>
      </c>
      <c r="D97" s="3" t="s">
        <v>303</v>
      </c>
      <c r="E97" s="5" t="str">
        <f t="shared" si="1"/>
        <v>718VANILLA CREAM</v>
      </c>
      <c r="F97" s="3" t="s">
        <v>8</v>
      </c>
      <c r="G97" s="6">
        <v>7667</v>
      </c>
      <c r="H97" s="3">
        <v>40</v>
      </c>
      <c r="I97" s="3" t="s">
        <v>48</v>
      </c>
      <c r="J97" s="1" t="s">
        <v>265</v>
      </c>
    </row>
    <row r="98" spans="1:10" hidden="1" x14ac:dyDescent="0.25">
      <c r="A98" s="2" t="s">
        <v>290</v>
      </c>
      <c r="B98" s="3" t="s">
        <v>46</v>
      </c>
      <c r="C98" s="3" t="s">
        <v>77</v>
      </c>
      <c r="D98" s="3" t="s">
        <v>306</v>
      </c>
      <c r="E98" s="5" t="str">
        <f t="shared" si="1"/>
        <v>A237MOCHA</v>
      </c>
      <c r="F98" s="3" t="s">
        <v>8</v>
      </c>
      <c r="G98" s="6">
        <v>7667</v>
      </c>
      <c r="H98" s="3">
        <v>31</v>
      </c>
      <c r="I98" s="3" t="s">
        <v>129</v>
      </c>
      <c r="J98" s="1" t="s">
        <v>266</v>
      </c>
    </row>
    <row r="99" spans="1:10" hidden="1" x14ac:dyDescent="0.25">
      <c r="A99" s="2" t="s">
        <v>290</v>
      </c>
      <c r="B99" s="3" t="s">
        <v>75</v>
      </c>
      <c r="C99" s="3" t="s">
        <v>10</v>
      </c>
      <c r="D99" s="3" t="s">
        <v>296</v>
      </c>
      <c r="E99" s="5" t="str">
        <f t="shared" si="1"/>
        <v>001BLACK</v>
      </c>
      <c r="F99" s="3" t="s">
        <v>8</v>
      </c>
      <c r="G99" s="6">
        <v>7677</v>
      </c>
      <c r="H99" s="3">
        <v>12</v>
      </c>
      <c r="I99" s="3" t="s">
        <v>93</v>
      </c>
      <c r="J99" s="1" t="s">
        <v>218</v>
      </c>
    </row>
    <row r="100" spans="1:10" hidden="1" x14ac:dyDescent="0.25">
      <c r="A100" s="2" t="s">
        <v>290</v>
      </c>
      <c r="B100" s="3" t="s">
        <v>75</v>
      </c>
      <c r="C100" s="3" t="s">
        <v>22</v>
      </c>
      <c r="D100" s="3" t="s">
        <v>297</v>
      </c>
      <c r="E100" s="5" t="str">
        <f t="shared" si="1"/>
        <v>2221CHOCOLATE BROWN</v>
      </c>
      <c r="F100" s="3" t="s">
        <v>8</v>
      </c>
      <c r="G100" s="2" t="s">
        <v>310</v>
      </c>
      <c r="H100" s="3">
        <v>10</v>
      </c>
      <c r="I100" s="3" t="s">
        <v>76</v>
      </c>
      <c r="J100" s="1" t="s">
        <v>181</v>
      </c>
    </row>
    <row r="101" spans="1:10" hidden="1" x14ac:dyDescent="0.25">
      <c r="A101" s="2" t="s">
        <v>290</v>
      </c>
      <c r="B101" s="3" t="s">
        <v>75</v>
      </c>
      <c r="C101" s="3" t="s">
        <v>22</v>
      </c>
      <c r="D101" s="3" t="s">
        <v>297</v>
      </c>
      <c r="E101" s="5" t="str">
        <f t="shared" si="1"/>
        <v>2221CHOCOLATE BROWN</v>
      </c>
      <c r="F101" s="3" t="s">
        <v>8</v>
      </c>
      <c r="G101" s="6">
        <v>7677</v>
      </c>
      <c r="H101" s="3">
        <v>93</v>
      </c>
      <c r="I101" s="3" t="s">
        <v>76</v>
      </c>
      <c r="J101" s="1" t="s">
        <v>219</v>
      </c>
    </row>
    <row r="102" spans="1:10" hidden="1" x14ac:dyDescent="0.25">
      <c r="A102" s="2" t="s">
        <v>290</v>
      </c>
      <c r="B102" s="3" t="s">
        <v>73</v>
      </c>
      <c r="C102" s="3" t="s">
        <v>10</v>
      </c>
      <c r="D102" s="3" t="s">
        <v>296</v>
      </c>
      <c r="E102" s="5" t="str">
        <f t="shared" si="1"/>
        <v>001BLACK</v>
      </c>
      <c r="F102" s="3" t="s">
        <v>8</v>
      </c>
      <c r="G102" s="2" t="s">
        <v>311</v>
      </c>
      <c r="H102" s="3">
        <v>16</v>
      </c>
      <c r="I102" s="3" t="s">
        <v>74</v>
      </c>
      <c r="J102" s="1" t="s">
        <v>180</v>
      </c>
    </row>
    <row r="103" spans="1:10" hidden="1" x14ac:dyDescent="0.25">
      <c r="A103" s="2" t="s">
        <v>290</v>
      </c>
      <c r="B103" s="3" t="s">
        <v>73</v>
      </c>
      <c r="C103" s="3" t="s">
        <v>10</v>
      </c>
      <c r="D103" s="3" t="s">
        <v>296</v>
      </c>
      <c r="E103" s="5" t="str">
        <f t="shared" si="1"/>
        <v>001BLACK</v>
      </c>
      <c r="F103" s="3" t="s">
        <v>8</v>
      </c>
      <c r="G103" s="6">
        <v>7679</v>
      </c>
      <c r="H103" s="3">
        <v>86</v>
      </c>
      <c r="I103" s="3" t="s">
        <v>74</v>
      </c>
      <c r="J103" s="1" t="s">
        <v>214</v>
      </c>
    </row>
    <row r="104" spans="1:10" hidden="1" x14ac:dyDescent="0.25">
      <c r="A104" s="2" t="s">
        <v>290</v>
      </c>
      <c r="B104" s="3" t="s">
        <v>73</v>
      </c>
      <c r="C104" s="3" t="s">
        <v>77</v>
      </c>
      <c r="D104" s="3" t="s">
        <v>306</v>
      </c>
      <c r="E104" s="5" t="str">
        <f t="shared" si="1"/>
        <v>A237MOCHA</v>
      </c>
      <c r="F104" s="3" t="s">
        <v>8</v>
      </c>
      <c r="G104" s="6">
        <v>7679</v>
      </c>
      <c r="H104" s="3">
        <v>57</v>
      </c>
      <c r="I104" s="3" t="s">
        <v>89</v>
      </c>
      <c r="J104" s="1" t="s">
        <v>215</v>
      </c>
    </row>
    <row r="105" spans="1:10" hidden="1" x14ac:dyDescent="0.25">
      <c r="A105" s="2" t="s">
        <v>290</v>
      </c>
      <c r="B105" s="3" t="s">
        <v>71</v>
      </c>
      <c r="C105" s="3" t="s">
        <v>10</v>
      </c>
      <c r="D105" s="3" t="s">
        <v>296</v>
      </c>
      <c r="E105" s="5" t="str">
        <f t="shared" si="1"/>
        <v>001BLACK</v>
      </c>
      <c r="F105" s="3" t="s">
        <v>8</v>
      </c>
      <c r="G105" s="2" t="s">
        <v>312</v>
      </c>
      <c r="H105" s="3">
        <v>15</v>
      </c>
      <c r="I105" s="3" t="s">
        <v>72</v>
      </c>
      <c r="J105" s="1" t="s">
        <v>179</v>
      </c>
    </row>
    <row r="106" spans="1:10" hidden="1" x14ac:dyDescent="0.25">
      <c r="A106" s="2" t="s">
        <v>290</v>
      </c>
      <c r="B106" s="3" t="s">
        <v>71</v>
      </c>
      <c r="C106" s="3" t="s">
        <v>10</v>
      </c>
      <c r="D106" s="3" t="s">
        <v>296</v>
      </c>
      <c r="E106" s="5" t="str">
        <f t="shared" si="1"/>
        <v>001BLACK</v>
      </c>
      <c r="F106" s="3" t="s">
        <v>8</v>
      </c>
      <c r="G106" s="6">
        <v>7680</v>
      </c>
      <c r="H106" s="3">
        <v>30</v>
      </c>
      <c r="I106" s="3" t="s">
        <v>72</v>
      </c>
      <c r="J106" s="1" t="s">
        <v>213</v>
      </c>
    </row>
    <row r="107" spans="1:10" hidden="1" x14ac:dyDescent="0.25">
      <c r="A107" s="2" t="s">
        <v>289</v>
      </c>
      <c r="B107" s="3" t="s">
        <v>18</v>
      </c>
      <c r="C107" s="3" t="s">
        <v>10</v>
      </c>
      <c r="D107" s="3" t="s">
        <v>296</v>
      </c>
      <c r="E107" s="5" t="str">
        <f t="shared" si="1"/>
        <v>001BLACK</v>
      </c>
      <c r="F107" s="3" t="s">
        <v>8</v>
      </c>
      <c r="G107" s="2" t="s">
        <v>319</v>
      </c>
      <c r="H107" s="3">
        <v>57</v>
      </c>
      <c r="I107" s="3" t="s">
        <v>19</v>
      </c>
      <c r="J107" s="1" t="s">
        <v>140</v>
      </c>
    </row>
    <row r="108" spans="1:10" hidden="1" x14ac:dyDescent="0.25">
      <c r="A108" s="2" t="s">
        <v>289</v>
      </c>
      <c r="B108" s="3" t="s">
        <v>18</v>
      </c>
      <c r="C108" s="3" t="s">
        <v>10</v>
      </c>
      <c r="D108" s="3" t="s">
        <v>296</v>
      </c>
      <c r="E108" s="5" t="str">
        <f t="shared" si="1"/>
        <v>001BLACK</v>
      </c>
      <c r="F108" s="3" t="s">
        <v>8</v>
      </c>
      <c r="G108" s="2" t="s">
        <v>318</v>
      </c>
      <c r="H108" s="3">
        <v>24</v>
      </c>
      <c r="I108" s="3" t="s">
        <v>19</v>
      </c>
      <c r="J108" s="1" t="s">
        <v>178</v>
      </c>
    </row>
    <row r="109" spans="1:10" hidden="1" x14ac:dyDescent="0.25">
      <c r="A109" s="2" t="s">
        <v>289</v>
      </c>
      <c r="B109" s="3" t="s">
        <v>18</v>
      </c>
      <c r="C109" s="3" t="s">
        <v>10</v>
      </c>
      <c r="D109" s="3" t="s">
        <v>296</v>
      </c>
      <c r="E109" s="5" t="str">
        <f t="shared" si="1"/>
        <v>001BLACK</v>
      </c>
      <c r="F109" s="3" t="s">
        <v>8</v>
      </c>
      <c r="G109" s="6">
        <v>7681</v>
      </c>
      <c r="H109" s="3">
        <v>160</v>
      </c>
      <c r="I109" s="3" t="s">
        <v>19</v>
      </c>
      <c r="J109" s="1" t="s">
        <v>212</v>
      </c>
    </row>
    <row r="110" spans="1:10" hidden="1" x14ac:dyDescent="0.25">
      <c r="A110" s="2" t="s">
        <v>289</v>
      </c>
      <c r="B110" s="3" t="s">
        <v>18</v>
      </c>
      <c r="C110" s="3" t="s">
        <v>7</v>
      </c>
      <c r="D110" s="3" t="s">
        <v>316</v>
      </c>
      <c r="E110" s="5" t="str">
        <f t="shared" si="1"/>
        <v>A236TRUFFLE</v>
      </c>
      <c r="F110" s="3" t="s">
        <v>8</v>
      </c>
      <c r="G110" s="2" t="s">
        <v>319</v>
      </c>
      <c r="H110" s="3">
        <v>38</v>
      </c>
      <c r="I110" s="3" t="s">
        <v>20</v>
      </c>
      <c r="J110" s="1" t="s">
        <v>141</v>
      </c>
    </row>
    <row r="111" spans="1:10" hidden="1" x14ac:dyDescent="0.25">
      <c r="A111" s="2" t="s">
        <v>289</v>
      </c>
      <c r="B111" s="3" t="s">
        <v>18</v>
      </c>
      <c r="C111" s="3" t="s">
        <v>7</v>
      </c>
      <c r="D111" s="3" t="s">
        <v>316</v>
      </c>
      <c r="E111" s="5" t="str">
        <f t="shared" si="1"/>
        <v>A236TRUFFLE</v>
      </c>
      <c r="F111" s="3" t="s">
        <v>8</v>
      </c>
      <c r="G111" s="2" t="s">
        <v>318</v>
      </c>
      <c r="H111" s="3">
        <v>6</v>
      </c>
      <c r="I111" s="3" t="s">
        <v>20</v>
      </c>
      <c r="J111" s="1" t="s">
        <v>177</v>
      </c>
    </row>
    <row r="112" spans="1:10" hidden="1" x14ac:dyDescent="0.25">
      <c r="A112" s="2" t="s">
        <v>289</v>
      </c>
      <c r="B112" s="3" t="s">
        <v>18</v>
      </c>
      <c r="C112" s="3" t="s">
        <v>7</v>
      </c>
      <c r="D112" s="3" t="s">
        <v>316</v>
      </c>
      <c r="E112" s="5" t="str">
        <f t="shared" si="1"/>
        <v>A236TRUFFLE</v>
      </c>
      <c r="F112" s="3" t="s">
        <v>8</v>
      </c>
      <c r="G112" s="6">
        <v>7681</v>
      </c>
      <c r="H112" s="3">
        <v>142</v>
      </c>
      <c r="I112" s="3" t="s">
        <v>20</v>
      </c>
      <c r="J112" s="1" t="s">
        <v>211</v>
      </c>
    </row>
    <row r="113" spans="1:10" hidden="1" x14ac:dyDescent="0.25">
      <c r="A113" s="2" t="s">
        <v>289</v>
      </c>
      <c r="B113" s="3" t="s">
        <v>85</v>
      </c>
      <c r="C113" s="3" t="s">
        <v>22</v>
      </c>
      <c r="D113" s="3" t="s">
        <v>297</v>
      </c>
      <c r="E113" s="5" t="str">
        <f t="shared" si="1"/>
        <v>2221CHOCOLATE BROWN</v>
      </c>
      <c r="F113" s="3" t="s">
        <v>8</v>
      </c>
      <c r="G113" s="6">
        <v>7682</v>
      </c>
      <c r="H113" s="3">
        <v>18</v>
      </c>
      <c r="I113" s="3" t="s">
        <v>88</v>
      </c>
      <c r="J113" s="1" t="s">
        <v>210</v>
      </c>
    </row>
    <row r="114" spans="1:10" hidden="1" x14ac:dyDescent="0.25">
      <c r="A114" s="2" t="s">
        <v>289</v>
      </c>
      <c r="B114" s="3" t="s">
        <v>85</v>
      </c>
      <c r="C114" s="3" t="s">
        <v>86</v>
      </c>
      <c r="D114" s="3" t="s">
        <v>320</v>
      </c>
      <c r="E114" s="5" t="str">
        <f t="shared" si="1"/>
        <v>255SAND</v>
      </c>
      <c r="F114" s="3" t="s">
        <v>8</v>
      </c>
      <c r="G114" s="6">
        <v>7682</v>
      </c>
      <c r="H114" s="3">
        <v>38</v>
      </c>
      <c r="I114" s="3" t="s">
        <v>87</v>
      </c>
      <c r="J114" s="1" t="s">
        <v>209</v>
      </c>
    </row>
    <row r="115" spans="1:10" hidden="1" x14ac:dyDescent="0.25">
      <c r="A115" s="2" t="s">
        <v>289</v>
      </c>
      <c r="B115" s="3" t="s">
        <v>15</v>
      </c>
      <c r="C115" s="3" t="s">
        <v>16</v>
      </c>
      <c r="D115" s="3" t="s">
        <v>321</v>
      </c>
      <c r="E115" s="5" t="str">
        <f t="shared" si="1"/>
        <v>A328SAND/CHOCOLATE BROWN</v>
      </c>
      <c r="F115" s="3" t="s">
        <v>8</v>
      </c>
      <c r="G115" s="2" t="s">
        <v>323</v>
      </c>
      <c r="H115" s="3">
        <v>20</v>
      </c>
      <c r="I115" s="3" t="s">
        <v>17</v>
      </c>
      <c r="J115" s="1" t="s">
        <v>139</v>
      </c>
    </row>
    <row r="116" spans="1:10" hidden="1" x14ac:dyDescent="0.25">
      <c r="A116" s="2" t="s">
        <v>289</v>
      </c>
      <c r="B116" s="3" t="s">
        <v>15</v>
      </c>
      <c r="C116" s="3" t="s">
        <v>16</v>
      </c>
      <c r="D116" s="3" t="s">
        <v>321</v>
      </c>
      <c r="E116" s="5" t="str">
        <f t="shared" si="1"/>
        <v>A328SAND/CHOCOLATE BROWN</v>
      </c>
      <c r="F116" s="3" t="s">
        <v>8</v>
      </c>
      <c r="G116" s="2" t="s">
        <v>322</v>
      </c>
      <c r="H116" s="3">
        <v>12</v>
      </c>
      <c r="I116" s="3" t="s">
        <v>17</v>
      </c>
      <c r="J116" s="1" t="s">
        <v>176</v>
      </c>
    </row>
    <row r="117" spans="1:10" hidden="1" x14ac:dyDescent="0.25">
      <c r="A117" s="2" t="s">
        <v>289</v>
      </c>
      <c r="B117" s="3" t="s">
        <v>15</v>
      </c>
      <c r="C117" s="3" t="s">
        <v>16</v>
      </c>
      <c r="D117" s="3" t="s">
        <v>321</v>
      </c>
      <c r="E117" s="5" t="str">
        <f t="shared" si="1"/>
        <v>A328SAND/CHOCOLATE BROWN</v>
      </c>
      <c r="F117" s="3" t="s">
        <v>8</v>
      </c>
      <c r="G117" s="6">
        <v>7683</v>
      </c>
      <c r="H117" s="3">
        <v>64</v>
      </c>
      <c r="I117" s="3" t="s">
        <v>17</v>
      </c>
      <c r="J117" s="1" t="s">
        <v>208</v>
      </c>
    </row>
    <row r="118" spans="1:10" hidden="1" x14ac:dyDescent="0.25">
      <c r="A118" s="2" t="s">
        <v>289</v>
      </c>
      <c r="B118" s="3" t="s">
        <v>83</v>
      </c>
      <c r="C118" s="3" t="s">
        <v>22</v>
      </c>
      <c r="D118" s="3" t="s">
        <v>297</v>
      </c>
      <c r="E118" s="5" t="str">
        <f t="shared" si="1"/>
        <v>2221CHOCOLATE BROWN</v>
      </c>
      <c r="F118" s="3" t="s">
        <v>8</v>
      </c>
      <c r="G118" s="6">
        <v>7684</v>
      </c>
      <c r="H118" s="3">
        <v>53</v>
      </c>
      <c r="I118" s="3" t="s">
        <v>84</v>
      </c>
      <c r="J118" s="1" t="s">
        <v>207</v>
      </c>
    </row>
    <row r="119" spans="1:10" hidden="1" x14ac:dyDescent="0.25">
      <c r="A119" s="2" t="s">
        <v>289</v>
      </c>
      <c r="B119" s="3" t="s">
        <v>63</v>
      </c>
      <c r="C119" s="3" t="s">
        <v>10</v>
      </c>
      <c r="D119" s="3" t="s">
        <v>296</v>
      </c>
      <c r="E119" s="5" t="str">
        <f t="shared" si="1"/>
        <v>001BLACK</v>
      </c>
      <c r="F119" s="3" t="s">
        <v>8</v>
      </c>
      <c r="G119" s="2" t="s">
        <v>314</v>
      </c>
      <c r="H119" s="3">
        <v>200</v>
      </c>
      <c r="I119" s="3" t="s">
        <v>82</v>
      </c>
      <c r="J119" s="1" t="s">
        <v>198</v>
      </c>
    </row>
    <row r="120" spans="1:10" hidden="1" x14ac:dyDescent="0.25">
      <c r="A120" s="2" t="s">
        <v>289</v>
      </c>
      <c r="B120" s="3" t="s">
        <v>63</v>
      </c>
      <c r="C120" s="3" t="s">
        <v>10</v>
      </c>
      <c r="D120" s="3" t="s">
        <v>296</v>
      </c>
      <c r="E120" s="5" t="str">
        <f t="shared" si="1"/>
        <v>001BLACK</v>
      </c>
      <c r="F120" s="3" t="s">
        <v>8</v>
      </c>
      <c r="G120" s="6">
        <v>7663</v>
      </c>
      <c r="H120" s="3">
        <v>266</v>
      </c>
      <c r="I120" s="3" t="s">
        <v>82</v>
      </c>
      <c r="J120" s="1" t="s">
        <v>285</v>
      </c>
    </row>
    <row r="121" spans="1:10" hidden="1" x14ac:dyDescent="0.25">
      <c r="A121" s="2" t="s">
        <v>289</v>
      </c>
      <c r="B121" s="3" t="s">
        <v>63</v>
      </c>
      <c r="C121" s="3" t="s">
        <v>64</v>
      </c>
      <c r="D121" s="3" t="s">
        <v>313</v>
      </c>
      <c r="E121" s="5" t="str">
        <f t="shared" si="1"/>
        <v>221DARK COFFEE</v>
      </c>
      <c r="F121" s="3" t="s">
        <v>8</v>
      </c>
      <c r="G121" s="2" t="s">
        <v>315</v>
      </c>
      <c r="H121" s="3">
        <v>68</v>
      </c>
      <c r="I121" s="3" t="s">
        <v>65</v>
      </c>
      <c r="J121" s="1" t="s">
        <v>169</v>
      </c>
    </row>
    <row r="122" spans="1:10" hidden="1" x14ac:dyDescent="0.25">
      <c r="A122" s="2" t="s">
        <v>289</v>
      </c>
      <c r="B122" s="3" t="s">
        <v>63</v>
      </c>
      <c r="C122" s="3" t="s">
        <v>64</v>
      </c>
      <c r="D122" s="3" t="s">
        <v>313</v>
      </c>
      <c r="E122" s="5" t="str">
        <f t="shared" si="1"/>
        <v>221DARK COFFEE</v>
      </c>
      <c r="F122" s="3" t="s">
        <v>8</v>
      </c>
      <c r="G122" s="2" t="s">
        <v>314</v>
      </c>
      <c r="H122" s="3">
        <v>130</v>
      </c>
      <c r="I122" s="3" t="s">
        <v>65</v>
      </c>
      <c r="J122" s="1" t="s">
        <v>199</v>
      </c>
    </row>
    <row r="123" spans="1:10" hidden="1" x14ac:dyDescent="0.25">
      <c r="A123" s="2" t="s">
        <v>289</v>
      </c>
      <c r="B123" s="3" t="s">
        <v>63</v>
      </c>
      <c r="C123" s="3" t="s">
        <v>64</v>
      </c>
      <c r="D123" s="3" t="s">
        <v>313</v>
      </c>
      <c r="E123" s="5" t="str">
        <f t="shared" si="1"/>
        <v>221DARK COFFEE</v>
      </c>
      <c r="F123" s="3" t="s">
        <v>8</v>
      </c>
      <c r="G123" s="6">
        <v>7663</v>
      </c>
      <c r="H123" s="3">
        <v>406</v>
      </c>
      <c r="I123" s="3" t="s">
        <v>65</v>
      </c>
      <c r="J123" s="1" t="s">
        <v>284</v>
      </c>
    </row>
    <row r="124" spans="1:10" hidden="1" x14ac:dyDescent="0.25">
      <c r="A124" s="2" t="s">
        <v>289</v>
      </c>
      <c r="B124" s="3" t="s">
        <v>43</v>
      </c>
      <c r="C124" s="3" t="s">
        <v>10</v>
      </c>
      <c r="D124" s="3" t="s">
        <v>296</v>
      </c>
      <c r="E124" s="5" t="str">
        <f t="shared" si="1"/>
        <v>001BLACK</v>
      </c>
      <c r="F124" s="3" t="s">
        <v>8</v>
      </c>
      <c r="G124" s="2" t="s">
        <v>317</v>
      </c>
      <c r="H124" s="3">
        <v>20</v>
      </c>
      <c r="I124" s="3" t="s">
        <v>44</v>
      </c>
      <c r="J124" s="1" t="s">
        <v>155</v>
      </c>
    </row>
    <row r="125" spans="1:10" hidden="1" x14ac:dyDescent="0.25">
      <c r="A125" s="2" t="s">
        <v>289</v>
      </c>
      <c r="B125" s="3" t="s">
        <v>43</v>
      </c>
      <c r="C125" s="3" t="s">
        <v>10</v>
      </c>
      <c r="D125" s="3" t="s">
        <v>296</v>
      </c>
      <c r="E125" s="5" t="str">
        <f t="shared" si="1"/>
        <v>001BLACK</v>
      </c>
      <c r="F125" s="3" t="s">
        <v>8</v>
      </c>
      <c r="G125" s="6">
        <v>7668</v>
      </c>
      <c r="H125" s="3">
        <v>97</v>
      </c>
      <c r="I125" s="3" t="s">
        <v>44</v>
      </c>
      <c r="J125" s="1" t="s">
        <v>262</v>
      </c>
    </row>
    <row r="126" spans="1:10" hidden="1" x14ac:dyDescent="0.25">
      <c r="A126" s="2" t="s">
        <v>289</v>
      </c>
      <c r="B126" s="3" t="s">
        <v>43</v>
      </c>
      <c r="C126" s="3" t="s">
        <v>7</v>
      </c>
      <c r="D126" s="3" t="s">
        <v>316</v>
      </c>
      <c r="E126" s="5" t="str">
        <f t="shared" si="1"/>
        <v>A236TRUFFLE</v>
      </c>
      <c r="F126" s="3" t="s">
        <v>8</v>
      </c>
      <c r="G126" s="2" t="s">
        <v>317</v>
      </c>
      <c r="H126" s="3">
        <v>24</v>
      </c>
      <c r="I126" s="3" t="s">
        <v>45</v>
      </c>
      <c r="J126" s="1" t="s">
        <v>156</v>
      </c>
    </row>
    <row r="127" spans="1:10" hidden="1" x14ac:dyDescent="0.25">
      <c r="A127" s="2" t="s">
        <v>289</v>
      </c>
      <c r="B127" s="3" t="s">
        <v>43</v>
      </c>
      <c r="C127" s="3" t="s">
        <v>7</v>
      </c>
      <c r="D127" s="3" t="s">
        <v>316</v>
      </c>
      <c r="E127" s="5" t="str">
        <f t="shared" si="1"/>
        <v>A236TRUFFLE</v>
      </c>
      <c r="F127" s="3" t="s">
        <v>8</v>
      </c>
      <c r="G127" s="6">
        <v>7668</v>
      </c>
      <c r="H127" s="3">
        <v>94</v>
      </c>
      <c r="I127" s="3" t="s">
        <v>45</v>
      </c>
      <c r="J127" s="1" t="s">
        <v>263</v>
      </c>
    </row>
    <row r="128" spans="1:10" hidden="1" x14ac:dyDescent="0.25">
      <c r="A128" s="2" t="s">
        <v>289</v>
      </c>
      <c r="B128" s="3" t="s">
        <v>90</v>
      </c>
      <c r="C128" s="3" t="s">
        <v>22</v>
      </c>
      <c r="D128" s="3" t="s">
        <v>297</v>
      </c>
      <c r="E128" s="5" t="str">
        <f t="shared" si="1"/>
        <v>2221CHOCOLATE BROWN</v>
      </c>
      <c r="F128" s="3" t="s">
        <v>8</v>
      </c>
      <c r="G128" s="6">
        <v>7678</v>
      </c>
      <c r="H128" s="3">
        <v>40</v>
      </c>
      <c r="I128" s="3" t="s">
        <v>91</v>
      </c>
      <c r="J128" s="1" t="s">
        <v>216</v>
      </c>
    </row>
    <row r="129" spans="1:10" hidden="1" x14ac:dyDescent="0.25">
      <c r="A129" s="2" t="s">
        <v>289</v>
      </c>
      <c r="B129" s="3" t="s">
        <v>90</v>
      </c>
      <c r="C129" s="3" t="s">
        <v>86</v>
      </c>
      <c r="D129" s="3" t="s">
        <v>320</v>
      </c>
      <c r="E129" s="5" t="str">
        <f t="shared" si="1"/>
        <v>255SAND</v>
      </c>
      <c r="F129" s="3" t="s">
        <v>8</v>
      </c>
      <c r="G129" s="6">
        <v>7678</v>
      </c>
      <c r="H129" s="3">
        <v>9</v>
      </c>
      <c r="I129" s="3" t="s">
        <v>92</v>
      </c>
      <c r="J129" s="1" t="s">
        <v>217</v>
      </c>
    </row>
    <row r="130" spans="1:10" hidden="1" x14ac:dyDescent="0.25">
      <c r="A130" s="2" t="s">
        <v>289</v>
      </c>
      <c r="B130" s="3" t="s">
        <v>79</v>
      </c>
      <c r="C130" s="3" t="s">
        <v>10</v>
      </c>
      <c r="D130" s="3" t="s">
        <v>296</v>
      </c>
      <c r="E130" s="5" t="str">
        <f t="shared" si="1"/>
        <v>001BLACK</v>
      </c>
      <c r="F130" s="3" t="s">
        <v>8</v>
      </c>
      <c r="G130" s="2" t="s">
        <v>324</v>
      </c>
      <c r="H130" s="3">
        <v>250</v>
      </c>
      <c r="I130" s="3" t="s">
        <v>80</v>
      </c>
      <c r="J130" s="1" t="s">
        <v>196</v>
      </c>
    </row>
    <row r="131" spans="1:10" hidden="1" x14ac:dyDescent="0.25">
      <c r="A131" s="2" t="s">
        <v>289</v>
      </c>
      <c r="B131" s="3" t="s">
        <v>79</v>
      </c>
      <c r="C131" s="3" t="s">
        <v>10</v>
      </c>
      <c r="D131" s="3" t="s">
        <v>296</v>
      </c>
      <c r="E131" s="5" t="str">
        <f t="shared" ref="E131:E152" si="2">_xlfn.CONCAT(C131,D131)</f>
        <v>001BLACK</v>
      </c>
      <c r="F131" s="3" t="s">
        <v>8</v>
      </c>
      <c r="G131" s="6">
        <v>7664</v>
      </c>
      <c r="H131" s="3">
        <v>518</v>
      </c>
      <c r="I131" s="3" t="s">
        <v>80</v>
      </c>
      <c r="J131" s="1" t="s">
        <v>283</v>
      </c>
    </row>
    <row r="132" spans="1:10" hidden="1" x14ac:dyDescent="0.25">
      <c r="A132" s="2" t="s">
        <v>289</v>
      </c>
      <c r="B132" s="3" t="s">
        <v>79</v>
      </c>
      <c r="C132" s="3" t="s">
        <v>64</v>
      </c>
      <c r="D132" s="3" t="s">
        <v>313</v>
      </c>
      <c r="E132" s="5" t="str">
        <f t="shared" si="2"/>
        <v>221DARK COFFEE</v>
      </c>
      <c r="F132" s="3" t="s">
        <v>8</v>
      </c>
      <c r="G132" s="2" t="s">
        <v>324</v>
      </c>
      <c r="H132" s="3">
        <v>80</v>
      </c>
      <c r="I132" s="3" t="s">
        <v>81</v>
      </c>
      <c r="J132" s="1" t="s">
        <v>197</v>
      </c>
    </row>
    <row r="133" spans="1:10" hidden="1" x14ac:dyDescent="0.25">
      <c r="A133" s="2" t="s">
        <v>289</v>
      </c>
      <c r="B133" s="3" t="s">
        <v>79</v>
      </c>
      <c r="C133" s="3" t="s">
        <v>64</v>
      </c>
      <c r="D133" s="3" t="s">
        <v>313</v>
      </c>
      <c r="E133" s="5" t="str">
        <f t="shared" si="2"/>
        <v>221DARK COFFEE</v>
      </c>
      <c r="F133" s="3" t="s">
        <v>8</v>
      </c>
      <c r="G133" s="6">
        <v>7664</v>
      </c>
      <c r="H133" s="3">
        <v>238</v>
      </c>
      <c r="I133" s="3" t="s">
        <v>81</v>
      </c>
      <c r="J133" s="1" t="s">
        <v>282</v>
      </c>
    </row>
    <row r="134" spans="1:10" hidden="1" x14ac:dyDescent="0.25">
      <c r="A134" s="2" t="s">
        <v>289</v>
      </c>
      <c r="B134" s="3" t="s">
        <v>126</v>
      </c>
      <c r="C134" s="3" t="s">
        <v>10</v>
      </c>
      <c r="D134" s="3" t="s">
        <v>296</v>
      </c>
      <c r="E134" s="5" t="str">
        <f t="shared" si="2"/>
        <v>001BLACK</v>
      </c>
      <c r="F134" s="3" t="s">
        <v>8</v>
      </c>
      <c r="G134" s="6">
        <v>7669</v>
      </c>
      <c r="H134" s="3">
        <v>149</v>
      </c>
      <c r="I134" s="3" t="s">
        <v>127</v>
      </c>
      <c r="J134" s="1" t="s">
        <v>260</v>
      </c>
    </row>
    <row r="135" spans="1:10" hidden="1" x14ac:dyDescent="0.25">
      <c r="A135" s="2" t="s">
        <v>289</v>
      </c>
      <c r="B135" s="3" t="s">
        <v>126</v>
      </c>
      <c r="C135" s="3" t="s">
        <v>7</v>
      </c>
      <c r="D135" s="3" t="s">
        <v>316</v>
      </c>
      <c r="E135" s="5" t="str">
        <f t="shared" si="2"/>
        <v>A236TRUFFLE</v>
      </c>
      <c r="F135" s="3" t="s">
        <v>8</v>
      </c>
      <c r="G135" s="6">
        <v>7669</v>
      </c>
      <c r="H135" s="3">
        <v>29</v>
      </c>
      <c r="I135" s="3" t="s">
        <v>128</v>
      </c>
      <c r="J135" s="1" t="s">
        <v>261</v>
      </c>
    </row>
    <row r="136" spans="1:10" hidden="1" x14ac:dyDescent="0.25">
      <c r="A136" s="2" t="s">
        <v>289</v>
      </c>
      <c r="B136" s="3" t="s">
        <v>66</v>
      </c>
      <c r="C136" s="3" t="s">
        <v>10</v>
      </c>
      <c r="D136" s="3" t="s">
        <v>296</v>
      </c>
      <c r="E136" s="5" t="str">
        <f t="shared" si="2"/>
        <v>001BLACK</v>
      </c>
      <c r="F136" s="3" t="s">
        <v>8</v>
      </c>
      <c r="G136" s="2" t="s">
        <v>326</v>
      </c>
      <c r="H136" s="3">
        <v>100</v>
      </c>
      <c r="I136" s="3" t="s">
        <v>68</v>
      </c>
      <c r="J136" s="1" t="s">
        <v>174</v>
      </c>
    </row>
    <row r="137" spans="1:10" hidden="1" x14ac:dyDescent="0.25">
      <c r="A137" s="2" t="s">
        <v>289</v>
      </c>
      <c r="B137" s="3" t="s">
        <v>66</v>
      </c>
      <c r="C137" s="3" t="s">
        <v>10</v>
      </c>
      <c r="D137" s="3" t="s">
        <v>296</v>
      </c>
      <c r="E137" s="5" t="str">
        <f t="shared" si="2"/>
        <v>001BLACK</v>
      </c>
      <c r="F137" s="3" t="s">
        <v>8</v>
      </c>
      <c r="G137" s="6">
        <v>7685</v>
      </c>
      <c r="H137" s="3">
        <v>1895</v>
      </c>
      <c r="I137" s="3" t="s">
        <v>68</v>
      </c>
      <c r="J137" s="1" t="s">
        <v>206</v>
      </c>
    </row>
    <row r="138" spans="1:10" hidden="1" x14ac:dyDescent="0.25">
      <c r="A138" s="2" t="s">
        <v>289</v>
      </c>
      <c r="B138" s="3" t="s">
        <v>66</v>
      </c>
      <c r="C138" s="3" t="s">
        <v>69</v>
      </c>
      <c r="D138" s="3" t="s">
        <v>325</v>
      </c>
      <c r="E138" s="5" t="str">
        <f t="shared" si="2"/>
        <v>A184MASTIC BEIGE</v>
      </c>
      <c r="F138" s="3" t="s">
        <v>8</v>
      </c>
      <c r="G138" s="2" t="s">
        <v>326</v>
      </c>
      <c r="H138" s="3">
        <v>60</v>
      </c>
      <c r="I138" s="3" t="s">
        <v>70</v>
      </c>
      <c r="J138" s="1" t="s">
        <v>175</v>
      </c>
    </row>
    <row r="139" spans="1:10" hidden="1" x14ac:dyDescent="0.25">
      <c r="A139" s="2" t="s">
        <v>289</v>
      </c>
      <c r="B139" s="3" t="s">
        <v>66</v>
      </c>
      <c r="C139" s="3" t="s">
        <v>69</v>
      </c>
      <c r="D139" s="3" t="s">
        <v>325</v>
      </c>
      <c r="E139" s="5" t="str">
        <f t="shared" si="2"/>
        <v>A184MASTIC BEIGE</v>
      </c>
      <c r="F139" s="3" t="s">
        <v>8</v>
      </c>
      <c r="G139" s="6">
        <v>7685</v>
      </c>
      <c r="H139" s="3">
        <v>321</v>
      </c>
      <c r="I139" s="3" t="s">
        <v>70</v>
      </c>
      <c r="J139" s="1" t="s">
        <v>204</v>
      </c>
    </row>
    <row r="140" spans="1:10" hidden="1" x14ac:dyDescent="0.25">
      <c r="A140" s="2" t="s">
        <v>289</v>
      </c>
      <c r="B140" s="3" t="s">
        <v>66</v>
      </c>
      <c r="C140" s="3" t="s">
        <v>7</v>
      </c>
      <c r="D140" s="3" t="s">
        <v>316</v>
      </c>
      <c r="E140" s="5" t="str">
        <f t="shared" si="2"/>
        <v>A236TRUFFLE</v>
      </c>
      <c r="F140" s="3" t="s">
        <v>8</v>
      </c>
      <c r="G140" s="2" t="s">
        <v>326</v>
      </c>
      <c r="H140" s="3">
        <v>40</v>
      </c>
      <c r="I140" s="3" t="s">
        <v>67</v>
      </c>
      <c r="J140" s="1" t="s">
        <v>173</v>
      </c>
    </row>
    <row r="141" spans="1:10" hidden="1" x14ac:dyDescent="0.25">
      <c r="A141" s="2" t="s">
        <v>289</v>
      </c>
      <c r="B141" s="3" t="s">
        <v>66</v>
      </c>
      <c r="C141" s="3" t="s">
        <v>7</v>
      </c>
      <c r="D141" s="3" t="s">
        <v>316</v>
      </c>
      <c r="E141" s="5" t="str">
        <f t="shared" si="2"/>
        <v>A236TRUFFLE</v>
      </c>
      <c r="F141" s="3" t="s">
        <v>8</v>
      </c>
      <c r="G141" s="6">
        <v>7685</v>
      </c>
      <c r="H141" s="3">
        <v>769</v>
      </c>
      <c r="I141" s="3" t="s">
        <v>67</v>
      </c>
      <c r="J141" s="1" t="s">
        <v>205</v>
      </c>
    </row>
    <row r="142" spans="1:10" hidden="1" x14ac:dyDescent="0.25">
      <c r="A142" s="2" t="s">
        <v>289</v>
      </c>
      <c r="B142" s="3" t="s">
        <v>12</v>
      </c>
      <c r="C142" s="3" t="s">
        <v>10</v>
      </c>
      <c r="D142" s="3" t="s">
        <v>296</v>
      </c>
      <c r="E142" s="5" t="str">
        <f t="shared" si="2"/>
        <v>001BLACK</v>
      </c>
      <c r="F142" s="3" t="s">
        <v>8</v>
      </c>
      <c r="G142" s="2" t="s">
        <v>328</v>
      </c>
      <c r="H142" s="3">
        <v>55</v>
      </c>
      <c r="I142" s="3" t="s">
        <v>13</v>
      </c>
      <c r="J142" s="1" t="s">
        <v>137</v>
      </c>
    </row>
    <row r="143" spans="1:10" hidden="1" x14ac:dyDescent="0.25">
      <c r="A143" s="2" t="s">
        <v>289</v>
      </c>
      <c r="B143" s="3" t="s">
        <v>12</v>
      </c>
      <c r="C143" s="3" t="s">
        <v>10</v>
      </c>
      <c r="D143" s="3" t="s">
        <v>296</v>
      </c>
      <c r="E143" s="5" t="str">
        <f t="shared" si="2"/>
        <v>001BLACK</v>
      </c>
      <c r="F143" s="3" t="s">
        <v>8</v>
      </c>
      <c r="G143" s="2" t="s">
        <v>327</v>
      </c>
      <c r="H143" s="3">
        <v>20</v>
      </c>
      <c r="I143" s="3" t="s">
        <v>13</v>
      </c>
      <c r="J143" s="1" t="s">
        <v>172</v>
      </c>
    </row>
    <row r="144" spans="1:10" hidden="1" x14ac:dyDescent="0.25">
      <c r="A144" s="2" t="s">
        <v>289</v>
      </c>
      <c r="B144" s="3" t="s">
        <v>12</v>
      </c>
      <c r="C144" s="3" t="s">
        <v>10</v>
      </c>
      <c r="D144" s="3" t="s">
        <v>296</v>
      </c>
      <c r="E144" s="5" t="str">
        <f t="shared" si="2"/>
        <v>001BLACK</v>
      </c>
      <c r="F144" s="3" t="s">
        <v>8</v>
      </c>
      <c r="G144" s="6">
        <v>7686</v>
      </c>
      <c r="H144" s="3">
        <v>65</v>
      </c>
      <c r="I144" s="3" t="s">
        <v>13</v>
      </c>
      <c r="J144" s="1" t="s">
        <v>203</v>
      </c>
    </row>
    <row r="145" spans="1:10" hidden="1" x14ac:dyDescent="0.25">
      <c r="A145" s="2" t="s">
        <v>289</v>
      </c>
      <c r="B145" s="3" t="s">
        <v>12</v>
      </c>
      <c r="C145" s="3" t="s">
        <v>7</v>
      </c>
      <c r="D145" s="3" t="s">
        <v>316</v>
      </c>
      <c r="E145" s="5" t="str">
        <f t="shared" si="2"/>
        <v>A236TRUFFLE</v>
      </c>
      <c r="F145" s="3" t="s">
        <v>8</v>
      </c>
      <c r="G145" s="2" t="s">
        <v>328</v>
      </c>
      <c r="H145" s="3">
        <v>34</v>
      </c>
      <c r="I145" s="3" t="s">
        <v>14</v>
      </c>
      <c r="J145" s="1" t="s">
        <v>138</v>
      </c>
    </row>
    <row r="146" spans="1:10" hidden="1" x14ac:dyDescent="0.25">
      <c r="A146" s="2" t="s">
        <v>289</v>
      </c>
      <c r="B146" s="3" t="s">
        <v>12</v>
      </c>
      <c r="C146" s="3" t="s">
        <v>7</v>
      </c>
      <c r="D146" s="3" t="s">
        <v>316</v>
      </c>
      <c r="E146" s="5" t="str">
        <f t="shared" si="2"/>
        <v>A236TRUFFLE</v>
      </c>
      <c r="F146" s="3" t="s">
        <v>8</v>
      </c>
      <c r="G146" s="2" t="s">
        <v>327</v>
      </c>
      <c r="H146" s="3">
        <v>20</v>
      </c>
      <c r="I146" s="3" t="s">
        <v>14</v>
      </c>
      <c r="J146" s="1" t="s">
        <v>171</v>
      </c>
    </row>
    <row r="147" spans="1:10" hidden="1" x14ac:dyDescent="0.25">
      <c r="A147" s="2" t="s">
        <v>289</v>
      </c>
      <c r="B147" s="3" t="s">
        <v>12</v>
      </c>
      <c r="C147" s="3" t="s">
        <v>7</v>
      </c>
      <c r="D147" s="3" t="s">
        <v>316</v>
      </c>
      <c r="E147" s="5" t="str">
        <f t="shared" si="2"/>
        <v>A236TRUFFLE</v>
      </c>
      <c r="F147" s="3" t="s">
        <v>8</v>
      </c>
      <c r="G147" s="6">
        <v>7686</v>
      </c>
      <c r="H147" s="3">
        <v>17</v>
      </c>
      <c r="I147" s="3" t="s">
        <v>14</v>
      </c>
      <c r="J147" s="1" t="s">
        <v>202</v>
      </c>
    </row>
    <row r="148" spans="1:10" hidden="1" x14ac:dyDescent="0.25">
      <c r="A148" s="2" t="s">
        <v>289</v>
      </c>
      <c r="B148" s="3" t="s">
        <v>6</v>
      </c>
      <c r="C148" s="3" t="s">
        <v>10</v>
      </c>
      <c r="D148" s="3" t="s">
        <v>296</v>
      </c>
      <c r="E148" s="5" t="str">
        <f t="shared" si="2"/>
        <v>001BLACK</v>
      </c>
      <c r="F148" s="3" t="s">
        <v>8</v>
      </c>
      <c r="G148" s="2" t="s">
        <v>330</v>
      </c>
      <c r="H148" s="3">
        <v>29</v>
      </c>
      <c r="I148" s="3" t="s">
        <v>11</v>
      </c>
      <c r="J148" s="1" t="s">
        <v>136</v>
      </c>
    </row>
    <row r="149" spans="1:10" hidden="1" x14ac:dyDescent="0.25">
      <c r="A149" s="2" t="s">
        <v>289</v>
      </c>
      <c r="B149" s="3" t="s">
        <v>6</v>
      </c>
      <c r="C149" s="3" t="s">
        <v>10</v>
      </c>
      <c r="D149" s="3" t="s">
        <v>296</v>
      </c>
      <c r="E149" s="5" t="str">
        <f t="shared" si="2"/>
        <v>001BLACK</v>
      </c>
      <c r="F149" s="3" t="s">
        <v>8</v>
      </c>
      <c r="G149" s="2" t="s">
        <v>329</v>
      </c>
      <c r="H149" s="3">
        <v>6</v>
      </c>
      <c r="I149" s="3" t="s">
        <v>11</v>
      </c>
      <c r="J149" s="1" t="s">
        <v>170</v>
      </c>
    </row>
    <row r="150" spans="1:10" hidden="1" x14ac:dyDescent="0.25">
      <c r="A150" s="2" t="s">
        <v>289</v>
      </c>
      <c r="B150" s="3" t="s">
        <v>6</v>
      </c>
      <c r="C150" s="3" t="s">
        <v>10</v>
      </c>
      <c r="D150" s="3" t="s">
        <v>296</v>
      </c>
      <c r="E150" s="5" t="str">
        <f t="shared" si="2"/>
        <v>001BLACK</v>
      </c>
      <c r="F150" s="3" t="s">
        <v>8</v>
      </c>
      <c r="G150" s="6">
        <v>7687</v>
      </c>
      <c r="H150" s="3">
        <v>82</v>
      </c>
      <c r="I150" s="3" t="s">
        <v>11</v>
      </c>
      <c r="J150" s="1" t="s">
        <v>201</v>
      </c>
    </row>
    <row r="151" spans="1:10" hidden="1" x14ac:dyDescent="0.25">
      <c r="A151" s="2" t="s">
        <v>289</v>
      </c>
      <c r="B151" s="3" t="s">
        <v>6</v>
      </c>
      <c r="C151" s="3" t="s">
        <v>7</v>
      </c>
      <c r="D151" s="3" t="s">
        <v>316</v>
      </c>
      <c r="E151" s="5" t="str">
        <f t="shared" si="2"/>
        <v>A236TRUFFLE</v>
      </c>
      <c r="F151" s="3" t="s">
        <v>8</v>
      </c>
      <c r="G151" s="2" t="s">
        <v>330</v>
      </c>
      <c r="H151" s="3">
        <v>24</v>
      </c>
      <c r="I151" s="3" t="s">
        <v>9</v>
      </c>
      <c r="J151" s="1" t="s">
        <v>135</v>
      </c>
    </row>
    <row r="152" spans="1:10" hidden="1" x14ac:dyDescent="0.25">
      <c r="A152" s="2" t="s">
        <v>289</v>
      </c>
      <c r="B152" s="3" t="s">
        <v>6</v>
      </c>
      <c r="C152" s="3" t="s">
        <v>7</v>
      </c>
      <c r="D152" s="3" t="s">
        <v>316</v>
      </c>
      <c r="E152" s="5" t="str">
        <f t="shared" si="2"/>
        <v>A236TRUFFLE</v>
      </c>
      <c r="F152" s="3" t="s">
        <v>8</v>
      </c>
      <c r="G152" s="6">
        <v>7687</v>
      </c>
      <c r="H152" s="3">
        <v>15</v>
      </c>
      <c r="I152" s="3" t="s">
        <v>9</v>
      </c>
      <c r="J152" s="1" t="s">
        <v>200</v>
      </c>
    </row>
  </sheetData>
  <autoFilter ref="A1:J152" xr:uid="{30906563-F008-49EB-9A81-3C9DD1FA7FB7}">
    <filterColumn colId="1">
      <filters>
        <filter val="UBL029.AL0216"/>
      </filters>
    </filterColumn>
    <filterColumn colId="2">
      <filters>
        <filter val="2221"/>
      </filters>
    </filterColumn>
  </autoFilter>
  <sortState xmlns:xlrd2="http://schemas.microsoft.com/office/spreadsheetml/2017/richdata2" ref="A2:J152">
    <sortCondition ref="B2:B152"/>
    <sortCondition ref="C2:C152"/>
    <sortCondition ref="A2:A152"/>
  </sortState>
  <phoneticPr fontId="4" type="noConversion"/>
  <pageMargins left="0.7" right="0.7" top="0.75" bottom="0.75" header="0.3" footer="0.3"/>
  <pageSetup paperSize="9" scale="4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9E74-06C7-48DD-85EB-DADF9E4F912E}">
  <sheetPr>
    <pageSetUpPr fitToPage="1"/>
  </sheetPr>
  <dimension ref="A1:J152"/>
  <sheetViews>
    <sheetView workbookViewId="0">
      <selection activeCell="D106" sqref="D1:D1048576"/>
    </sheetView>
  </sheetViews>
  <sheetFormatPr baseColWidth="10" defaultColWidth="11.42578125" defaultRowHeight="15" x14ac:dyDescent="0.25"/>
  <cols>
    <col min="2" max="2" width="19" customWidth="1"/>
    <col min="4" max="4" width="23.140625" customWidth="1"/>
    <col min="5" max="5" width="29" bestFit="1" customWidth="1"/>
    <col min="9" max="9" width="16.140625" customWidth="1"/>
    <col min="10" max="10" width="48.85546875" customWidth="1"/>
  </cols>
  <sheetData>
    <row r="1" spans="1:10" x14ac:dyDescent="0.25">
      <c r="A1" s="1" t="s">
        <v>286</v>
      </c>
      <c r="B1" s="1" t="s">
        <v>1</v>
      </c>
      <c r="C1" s="1" t="s">
        <v>2</v>
      </c>
      <c r="D1" s="4" t="s">
        <v>287</v>
      </c>
      <c r="E1" s="12"/>
      <c r="F1" s="1" t="s">
        <v>3</v>
      </c>
      <c r="G1" s="1" t="s">
        <v>0</v>
      </c>
      <c r="H1" s="4" t="s">
        <v>288</v>
      </c>
      <c r="I1" s="1" t="s">
        <v>4</v>
      </c>
      <c r="J1" s="1" t="s">
        <v>5</v>
      </c>
    </row>
    <row r="2" spans="1:10" x14ac:dyDescent="0.25">
      <c r="A2" s="2" t="s">
        <v>290</v>
      </c>
      <c r="B2" s="3" t="s">
        <v>53</v>
      </c>
      <c r="C2" s="3" t="s">
        <v>38</v>
      </c>
      <c r="D2" s="5" t="s">
        <v>291</v>
      </c>
      <c r="E2" s="5" t="str">
        <f t="shared" ref="E2:E65" si="0">_xlfn.CONCAT(C2," ",D2)</f>
        <v>0014 NOIR/ARGENT VIBRE</v>
      </c>
      <c r="F2" s="3" t="s">
        <v>23</v>
      </c>
      <c r="G2" s="2" t="s">
        <v>293</v>
      </c>
      <c r="H2" s="3">
        <v>13</v>
      </c>
      <c r="I2" s="3" t="s">
        <v>59</v>
      </c>
      <c r="J2" s="1" t="s">
        <v>165</v>
      </c>
    </row>
    <row r="3" spans="1:10" x14ac:dyDescent="0.25">
      <c r="A3" s="2" t="s">
        <v>290</v>
      </c>
      <c r="B3" s="3" t="s">
        <v>53</v>
      </c>
      <c r="C3" s="3" t="s">
        <v>38</v>
      </c>
      <c r="D3" s="5" t="s">
        <v>291</v>
      </c>
      <c r="E3" s="5" t="str">
        <f t="shared" si="0"/>
        <v>0014 NOIR/ARGENT VIBRE</v>
      </c>
      <c r="F3" s="3" t="s">
        <v>25</v>
      </c>
      <c r="G3" s="2" t="s">
        <v>293</v>
      </c>
      <c r="H3" s="3">
        <v>12</v>
      </c>
      <c r="I3" s="3" t="s">
        <v>60</v>
      </c>
      <c r="J3" s="1" t="s">
        <v>166</v>
      </c>
    </row>
    <row r="4" spans="1:10" x14ac:dyDescent="0.25">
      <c r="A4" s="2" t="s">
        <v>290</v>
      </c>
      <c r="B4" s="3" t="s">
        <v>53</v>
      </c>
      <c r="C4" s="3" t="s">
        <v>38</v>
      </c>
      <c r="D4" s="5" t="s">
        <v>291</v>
      </c>
      <c r="E4" s="5" t="str">
        <f t="shared" si="0"/>
        <v>0014 NOIR/ARGENT VIBRE</v>
      </c>
      <c r="F4" s="3" t="s">
        <v>27</v>
      </c>
      <c r="G4" s="2" t="s">
        <v>293</v>
      </c>
      <c r="H4" s="3">
        <v>6</v>
      </c>
      <c r="I4" s="3" t="s">
        <v>61</v>
      </c>
      <c r="J4" s="1" t="s">
        <v>167</v>
      </c>
    </row>
    <row r="5" spans="1:10" x14ac:dyDescent="0.25">
      <c r="A5" s="2" t="s">
        <v>290</v>
      </c>
      <c r="B5" s="3" t="s">
        <v>53</v>
      </c>
      <c r="C5" s="3" t="s">
        <v>38</v>
      </c>
      <c r="D5" s="5" t="s">
        <v>291</v>
      </c>
      <c r="E5" s="5" t="str">
        <f t="shared" si="0"/>
        <v>0014 NOIR/ARGENT VIBRE</v>
      </c>
      <c r="F5" s="3" t="s">
        <v>29</v>
      </c>
      <c r="G5" s="2" t="s">
        <v>293</v>
      </c>
      <c r="H5" s="3">
        <v>2</v>
      </c>
      <c r="I5" s="3" t="s">
        <v>62</v>
      </c>
      <c r="J5" s="1" t="s">
        <v>168</v>
      </c>
    </row>
    <row r="6" spans="1:10" x14ac:dyDescent="0.25">
      <c r="A6" s="2" t="s">
        <v>290</v>
      </c>
      <c r="B6" s="3" t="s">
        <v>53</v>
      </c>
      <c r="C6" s="3" t="s">
        <v>38</v>
      </c>
      <c r="D6" s="5" t="s">
        <v>291</v>
      </c>
      <c r="E6" s="5" t="str">
        <f t="shared" si="0"/>
        <v>0014 NOIR/ARGENT VIBRE</v>
      </c>
      <c r="F6" s="3" t="s">
        <v>23</v>
      </c>
      <c r="G6" s="2" t="s">
        <v>294</v>
      </c>
      <c r="H6" s="3">
        <v>40</v>
      </c>
      <c r="I6" s="3" t="s">
        <v>59</v>
      </c>
      <c r="J6" s="1" t="s">
        <v>190</v>
      </c>
    </row>
    <row r="7" spans="1:10" x14ac:dyDescent="0.25">
      <c r="A7" s="2" t="s">
        <v>290</v>
      </c>
      <c r="B7" s="3" t="s">
        <v>53</v>
      </c>
      <c r="C7" s="3" t="s">
        <v>38</v>
      </c>
      <c r="D7" s="5" t="s">
        <v>291</v>
      </c>
      <c r="E7" s="5" t="str">
        <f t="shared" si="0"/>
        <v>0014 NOIR/ARGENT VIBRE</v>
      </c>
      <c r="F7" s="3" t="s">
        <v>25</v>
      </c>
      <c r="G7" s="2" t="s">
        <v>294</v>
      </c>
      <c r="H7" s="3">
        <v>40</v>
      </c>
      <c r="I7" s="3" t="s">
        <v>60</v>
      </c>
      <c r="J7" s="1" t="s">
        <v>191</v>
      </c>
    </row>
    <row r="8" spans="1:10" x14ac:dyDescent="0.25">
      <c r="A8" s="2" t="s">
        <v>290</v>
      </c>
      <c r="B8" s="3" t="s">
        <v>53</v>
      </c>
      <c r="C8" s="3" t="s">
        <v>38</v>
      </c>
      <c r="D8" s="5" t="s">
        <v>291</v>
      </c>
      <c r="E8" s="5" t="str">
        <f t="shared" si="0"/>
        <v>0014 NOIR/ARGENT VIBRE</v>
      </c>
      <c r="F8" s="3" t="s">
        <v>27</v>
      </c>
      <c r="G8" s="2" t="s">
        <v>294</v>
      </c>
      <c r="H8" s="3">
        <v>20</v>
      </c>
      <c r="I8" s="3" t="s">
        <v>61</v>
      </c>
      <c r="J8" s="1" t="s">
        <v>192</v>
      </c>
    </row>
    <row r="9" spans="1:10" x14ac:dyDescent="0.25">
      <c r="A9" s="2" t="s">
        <v>290</v>
      </c>
      <c r="B9" s="3" t="s">
        <v>53</v>
      </c>
      <c r="C9" s="3" t="s">
        <v>38</v>
      </c>
      <c r="D9" s="5" t="s">
        <v>291</v>
      </c>
      <c r="E9" s="5" t="str">
        <f t="shared" si="0"/>
        <v>0014 NOIR/ARGENT VIBRE</v>
      </c>
      <c r="F9" s="3" t="s">
        <v>23</v>
      </c>
      <c r="G9" s="6">
        <v>7665</v>
      </c>
      <c r="H9" s="3">
        <v>209</v>
      </c>
      <c r="I9" s="3" t="s">
        <v>59</v>
      </c>
      <c r="J9" s="1" t="s">
        <v>270</v>
      </c>
    </row>
    <row r="10" spans="1:10" x14ac:dyDescent="0.25">
      <c r="A10" s="2" t="s">
        <v>290</v>
      </c>
      <c r="B10" s="3" t="s">
        <v>53</v>
      </c>
      <c r="C10" s="3" t="s">
        <v>38</v>
      </c>
      <c r="D10" s="5" t="s">
        <v>291</v>
      </c>
      <c r="E10" s="5" t="str">
        <f t="shared" si="0"/>
        <v>0014 NOIR/ARGENT VIBRE</v>
      </c>
      <c r="F10" s="3" t="s">
        <v>25</v>
      </c>
      <c r="G10" s="6">
        <v>7665</v>
      </c>
      <c r="H10" s="3">
        <v>330</v>
      </c>
      <c r="I10" s="3" t="s">
        <v>60</v>
      </c>
      <c r="J10" s="1" t="s">
        <v>271</v>
      </c>
    </row>
    <row r="11" spans="1:10" x14ac:dyDescent="0.25">
      <c r="A11" s="2" t="s">
        <v>290</v>
      </c>
      <c r="B11" s="3" t="s">
        <v>53</v>
      </c>
      <c r="C11" s="3" t="s">
        <v>38</v>
      </c>
      <c r="D11" s="5" t="s">
        <v>291</v>
      </c>
      <c r="E11" s="5" t="str">
        <f t="shared" si="0"/>
        <v>0014 NOIR/ARGENT VIBRE</v>
      </c>
      <c r="F11" s="3" t="s">
        <v>27</v>
      </c>
      <c r="G11" s="6">
        <v>7665</v>
      </c>
      <c r="H11" s="3">
        <v>237</v>
      </c>
      <c r="I11" s="3" t="s">
        <v>61</v>
      </c>
      <c r="J11" s="1" t="s">
        <v>272</v>
      </c>
    </row>
    <row r="12" spans="1:10" x14ac:dyDescent="0.25">
      <c r="A12" s="2" t="s">
        <v>290</v>
      </c>
      <c r="B12" s="3" t="s">
        <v>53</v>
      </c>
      <c r="C12" s="3" t="s">
        <v>38</v>
      </c>
      <c r="D12" s="5" t="s">
        <v>291</v>
      </c>
      <c r="E12" s="5" t="str">
        <f t="shared" si="0"/>
        <v>0014 NOIR/ARGENT VIBRE</v>
      </c>
      <c r="F12" s="3" t="s">
        <v>29</v>
      </c>
      <c r="G12" s="6">
        <v>7665</v>
      </c>
      <c r="H12" s="3">
        <v>101</v>
      </c>
      <c r="I12" s="3" t="s">
        <v>62</v>
      </c>
      <c r="J12" s="1" t="s">
        <v>273</v>
      </c>
    </row>
    <row r="13" spans="1:10" x14ac:dyDescent="0.25">
      <c r="A13" s="2" t="s">
        <v>290</v>
      </c>
      <c r="B13" s="3" t="s">
        <v>53</v>
      </c>
      <c r="C13" s="3" t="s">
        <v>54</v>
      </c>
      <c r="D13" s="2" t="s">
        <v>292</v>
      </c>
      <c r="E13" s="5" t="str">
        <f t="shared" si="0"/>
        <v>0015 NOIR/LAITON VIBRE</v>
      </c>
      <c r="F13" s="3" t="s">
        <v>23</v>
      </c>
      <c r="G13" s="2" t="s">
        <v>293</v>
      </c>
      <c r="H13" s="3">
        <v>29</v>
      </c>
      <c r="I13" s="3" t="s">
        <v>55</v>
      </c>
      <c r="J13" s="1" t="s">
        <v>161</v>
      </c>
    </row>
    <row r="14" spans="1:10" x14ac:dyDescent="0.25">
      <c r="A14" s="2" t="s">
        <v>290</v>
      </c>
      <c r="B14" s="3" t="s">
        <v>53</v>
      </c>
      <c r="C14" s="3" t="s">
        <v>54</v>
      </c>
      <c r="D14" s="2" t="s">
        <v>292</v>
      </c>
      <c r="E14" s="5" t="str">
        <f t="shared" si="0"/>
        <v>0015 NOIR/LAITON VIBRE</v>
      </c>
      <c r="F14" s="3" t="s">
        <v>25</v>
      </c>
      <c r="G14" s="2" t="s">
        <v>293</v>
      </c>
      <c r="H14" s="3">
        <v>26</v>
      </c>
      <c r="I14" s="3" t="s">
        <v>56</v>
      </c>
      <c r="J14" s="1" t="s">
        <v>162</v>
      </c>
    </row>
    <row r="15" spans="1:10" x14ac:dyDescent="0.25">
      <c r="A15" s="2" t="s">
        <v>290</v>
      </c>
      <c r="B15" s="3" t="s">
        <v>53</v>
      </c>
      <c r="C15" s="3" t="s">
        <v>54</v>
      </c>
      <c r="D15" s="2" t="s">
        <v>292</v>
      </c>
      <c r="E15" s="5" t="str">
        <f t="shared" si="0"/>
        <v>0015 NOIR/LAITON VIBRE</v>
      </c>
      <c r="F15" s="3" t="s">
        <v>27</v>
      </c>
      <c r="G15" s="2" t="s">
        <v>293</v>
      </c>
      <c r="H15" s="3">
        <v>11</v>
      </c>
      <c r="I15" s="3" t="s">
        <v>57</v>
      </c>
      <c r="J15" s="1" t="s">
        <v>163</v>
      </c>
    </row>
    <row r="16" spans="1:10" x14ac:dyDescent="0.25">
      <c r="A16" s="2" t="s">
        <v>290</v>
      </c>
      <c r="B16" s="3" t="s">
        <v>53</v>
      </c>
      <c r="C16" s="3" t="s">
        <v>54</v>
      </c>
      <c r="D16" s="2" t="s">
        <v>292</v>
      </c>
      <c r="E16" s="5" t="str">
        <f t="shared" si="0"/>
        <v>0015 NOIR/LAITON VIBRE</v>
      </c>
      <c r="F16" s="3" t="s">
        <v>29</v>
      </c>
      <c r="G16" s="2" t="s">
        <v>293</v>
      </c>
      <c r="H16" s="3">
        <v>4</v>
      </c>
      <c r="I16" s="3" t="s">
        <v>58</v>
      </c>
      <c r="J16" s="1" t="s">
        <v>164</v>
      </c>
    </row>
    <row r="17" spans="1:10" x14ac:dyDescent="0.25">
      <c r="A17" s="2" t="s">
        <v>290</v>
      </c>
      <c r="B17" s="3" t="s">
        <v>53</v>
      </c>
      <c r="C17" s="3" t="s">
        <v>54</v>
      </c>
      <c r="D17" s="2" t="s">
        <v>292</v>
      </c>
      <c r="E17" s="5" t="str">
        <f t="shared" si="0"/>
        <v>0015 NOIR/LAITON VIBRE</v>
      </c>
      <c r="F17" s="3" t="s">
        <v>23</v>
      </c>
      <c r="G17" s="2" t="s">
        <v>294</v>
      </c>
      <c r="H17" s="3">
        <v>65</v>
      </c>
      <c r="I17" s="3" t="s">
        <v>55</v>
      </c>
      <c r="J17" s="1" t="s">
        <v>193</v>
      </c>
    </row>
    <row r="18" spans="1:10" x14ac:dyDescent="0.25">
      <c r="A18" s="2" t="s">
        <v>290</v>
      </c>
      <c r="B18" s="3" t="s">
        <v>53</v>
      </c>
      <c r="C18" s="3" t="s">
        <v>54</v>
      </c>
      <c r="D18" s="2" t="s">
        <v>292</v>
      </c>
      <c r="E18" s="5" t="str">
        <f t="shared" si="0"/>
        <v>0015 NOIR/LAITON VIBRE</v>
      </c>
      <c r="F18" s="3" t="s">
        <v>25</v>
      </c>
      <c r="G18" s="2" t="s">
        <v>294</v>
      </c>
      <c r="H18" s="3">
        <v>70</v>
      </c>
      <c r="I18" s="3" t="s">
        <v>56</v>
      </c>
      <c r="J18" s="1" t="s">
        <v>194</v>
      </c>
    </row>
    <row r="19" spans="1:10" x14ac:dyDescent="0.25">
      <c r="A19" s="2" t="s">
        <v>290</v>
      </c>
      <c r="B19" s="3" t="s">
        <v>53</v>
      </c>
      <c r="C19" s="3" t="s">
        <v>54</v>
      </c>
      <c r="D19" s="2" t="s">
        <v>292</v>
      </c>
      <c r="E19" s="5" t="str">
        <f t="shared" si="0"/>
        <v>0015 NOIR/LAITON VIBRE</v>
      </c>
      <c r="F19" s="3" t="s">
        <v>27</v>
      </c>
      <c r="G19" s="2" t="s">
        <v>294</v>
      </c>
      <c r="H19" s="3">
        <v>40</v>
      </c>
      <c r="I19" s="3" t="s">
        <v>57</v>
      </c>
      <c r="J19" s="1" t="s">
        <v>195</v>
      </c>
    </row>
    <row r="20" spans="1:10" x14ac:dyDescent="0.25">
      <c r="A20" s="2" t="s">
        <v>290</v>
      </c>
      <c r="B20" s="3" t="s">
        <v>53</v>
      </c>
      <c r="C20" s="3" t="s">
        <v>54</v>
      </c>
      <c r="D20" s="2" t="s">
        <v>292</v>
      </c>
      <c r="E20" s="5" t="str">
        <f t="shared" si="0"/>
        <v>0015 NOIR/LAITON VIBRE</v>
      </c>
      <c r="F20" s="3" t="s">
        <v>23</v>
      </c>
      <c r="G20" s="6">
        <v>7665</v>
      </c>
      <c r="H20" s="3">
        <v>224</v>
      </c>
      <c r="I20" s="3" t="s">
        <v>55</v>
      </c>
      <c r="J20" s="1" t="s">
        <v>274</v>
      </c>
    </row>
    <row r="21" spans="1:10" x14ac:dyDescent="0.25">
      <c r="A21" s="2" t="s">
        <v>290</v>
      </c>
      <c r="B21" s="3" t="s">
        <v>53</v>
      </c>
      <c r="C21" s="3" t="s">
        <v>54</v>
      </c>
      <c r="D21" s="2" t="s">
        <v>292</v>
      </c>
      <c r="E21" s="5" t="str">
        <f t="shared" si="0"/>
        <v>0015 NOIR/LAITON VIBRE</v>
      </c>
      <c r="F21" s="3" t="s">
        <v>25</v>
      </c>
      <c r="G21" s="6">
        <v>7665</v>
      </c>
      <c r="H21" s="3">
        <v>287</v>
      </c>
      <c r="I21" s="3" t="s">
        <v>56</v>
      </c>
      <c r="J21" s="1" t="s">
        <v>275</v>
      </c>
    </row>
    <row r="22" spans="1:10" x14ac:dyDescent="0.25">
      <c r="A22" s="2" t="s">
        <v>290</v>
      </c>
      <c r="B22" s="3" t="s">
        <v>53</v>
      </c>
      <c r="C22" s="3" t="s">
        <v>54</v>
      </c>
      <c r="D22" s="2" t="s">
        <v>292</v>
      </c>
      <c r="E22" s="5" t="str">
        <f t="shared" si="0"/>
        <v>0015 NOIR/LAITON VIBRE</v>
      </c>
      <c r="F22" s="3" t="s">
        <v>27</v>
      </c>
      <c r="G22" s="6">
        <v>7665</v>
      </c>
      <c r="H22" s="3">
        <v>175</v>
      </c>
      <c r="I22" s="3" t="s">
        <v>57</v>
      </c>
      <c r="J22" s="1" t="s">
        <v>276</v>
      </c>
    </row>
    <row r="23" spans="1:10" x14ac:dyDescent="0.25">
      <c r="A23" s="2" t="s">
        <v>290</v>
      </c>
      <c r="B23" s="3" t="s">
        <v>53</v>
      </c>
      <c r="C23" s="3" t="s">
        <v>54</v>
      </c>
      <c r="D23" s="2" t="s">
        <v>292</v>
      </c>
      <c r="E23" s="5" t="str">
        <f t="shared" si="0"/>
        <v>0015 NOIR/LAITON VIBRE</v>
      </c>
      <c r="F23" s="3" t="s">
        <v>29</v>
      </c>
      <c r="G23" s="6">
        <v>7665</v>
      </c>
      <c r="H23" s="3">
        <v>65</v>
      </c>
      <c r="I23" s="3" t="s">
        <v>58</v>
      </c>
      <c r="J23" s="1" t="s">
        <v>277</v>
      </c>
    </row>
    <row r="24" spans="1:10" x14ac:dyDescent="0.25">
      <c r="A24" s="2" t="s">
        <v>290</v>
      </c>
      <c r="B24" s="3" t="s">
        <v>53</v>
      </c>
      <c r="C24" s="3" t="s">
        <v>130</v>
      </c>
      <c r="D24" s="3" t="s">
        <v>295</v>
      </c>
      <c r="E24" s="5" t="str">
        <f t="shared" si="0"/>
        <v>225 CHOCOLATE/LAITON VIBRE</v>
      </c>
      <c r="F24" s="3" t="s">
        <v>23</v>
      </c>
      <c r="G24" s="6">
        <v>7665</v>
      </c>
      <c r="H24" s="3">
        <v>27</v>
      </c>
      <c r="I24" s="3" t="s">
        <v>131</v>
      </c>
      <c r="J24" s="1" t="s">
        <v>278</v>
      </c>
    </row>
    <row r="25" spans="1:10" x14ac:dyDescent="0.25">
      <c r="A25" s="2" t="s">
        <v>290</v>
      </c>
      <c r="B25" s="3" t="s">
        <v>53</v>
      </c>
      <c r="C25" s="3" t="s">
        <v>130</v>
      </c>
      <c r="D25" s="3" t="s">
        <v>295</v>
      </c>
      <c r="E25" s="5" t="str">
        <f t="shared" si="0"/>
        <v>225 CHOCOLATE/LAITON VIBRE</v>
      </c>
      <c r="F25" s="3" t="s">
        <v>25</v>
      </c>
      <c r="G25" s="6">
        <v>7665</v>
      </c>
      <c r="H25" s="3">
        <v>47</v>
      </c>
      <c r="I25" s="3" t="s">
        <v>132</v>
      </c>
      <c r="J25" s="1" t="s">
        <v>279</v>
      </c>
    </row>
    <row r="26" spans="1:10" x14ac:dyDescent="0.25">
      <c r="A26" s="2" t="s">
        <v>290</v>
      </c>
      <c r="B26" s="3" t="s">
        <v>53</v>
      </c>
      <c r="C26" s="3" t="s">
        <v>130</v>
      </c>
      <c r="D26" s="3" t="s">
        <v>295</v>
      </c>
      <c r="E26" s="5" t="str">
        <f t="shared" si="0"/>
        <v>225 CHOCOLATE/LAITON VIBRE</v>
      </c>
      <c r="F26" s="3" t="s">
        <v>27</v>
      </c>
      <c r="G26" s="6">
        <v>7665</v>
      </c>
      <c r="H26" s="3">
        <v>33</v>
      </c>
      <c r="I26" s="3" t="s">
        <v>133</v>
      </c>
      <c r="J26" s="1" t="s">
        <v>280</v>
      </c>
    </row>
    <row r="27" spans="1:10" x14ac:dyDescent="0.25">
      <c r="A27" s="2" t="s">
        <v>290</v>
      </c>
      <c r="B27" s="3" t="s">
        <v>53</v>
      </c>
      <c r="C27" s="3" t="s">
        <v>130</v>
      </c>
      <c r="D27" s="3" t="s">
        <v>295</v>
      </c>
      <c r="E27" s="5" t="str">
        <f t="shared" si="0"/>
        <v>225 CHOCOLATE/LAITON VIBRE</v>
      </c>
      <c r="F27" s="3" t="s">
        <v>29</v>
      </c>
      <c r="G27" s="6">
        <v>7665</v>
      </c>
      <c r="H27" s="3">
        <v>3</v>
      </c>
      <c r="I27" s="3" t="s">
        <v>134</v>
      </c>
      <c r="J27" s="1" t="s">
        <v>281</v>
      </c>
    </row>
    <row r="28" spans="1:10" x14ac:dyDescent="0.25">
      <c r="A28" s="2" t="s">
        <v>290</v>
      </c>
      <c r="B28" s="3" t="s">
        <v>112</v>
      </c>
      <c r="C28" s="3" t="s">
        <v>10</v>
      </c>
      <c r="D28" s="2" t="s">
        <v>296</v>
      </c>
      <c r="E28" s="5" t="str">
        <f t="shared" si="0"/>
        <v>001 BLACK</v>
      </c>
      <c r="F28" s="3" t="s">
        <v>23</v>
      </c>
      <c r="G28" s="6">
        <v>7672</v>
      </c>
      <c r="H28" s="3">
        <v>45</v>
      </c>
      <c r="I28" s="3" t="s">
        <v>117</v>
      </c>
      <c r="J28" s="1" t="s">
        <v>246</v>
      </c>
    </row>
    <row r="29" spans="1:10" x14ac:dyDescent="0.25">
      <c r="A29" s="2" t="s">
        <v>290</v>
      </c>
      <c r="B29" s="3" t="s">
        <v>112</v>
      </c>
      <c r="C29" s="3" t="s">
        <v>10</v>
      </c>
      <c r="D29" s="2" t="s">
        <v>296</v>
      </c>
      <c r="E29" s="5" t="str">
        <f t="shared" si="0"/>
        <v>001 BLACK</v>
      </c>
      <c r="F29" s="3" t="s">
        <v>25</v>
      </c>
      <c r="G29" s="6">
        <v>7672</v>
      </c>
      <c r="H29" s="3">
        <v>64</v>
      </c>
      <c r="I29" s="3" t="s">
        <v>118</v>
      </c>
      <c r="J29" s="1" t="s">
        <v>247</v>
      </c>
    </row>
    <row r="30" spans="1:10" x14ac:dyDescent="0.25">
      <c r="A30" s="2" t="s">
        <v>290</v>
      </c>
      <c r="B30" s="3" t="s">
        <v>112</v>
      </c>
      <c r="C30" s="3" t="s">
        <v>10</v>
      </c>
      <c r="D30" s="2" t="s">
        <v>296</v>
      </c>
      <c r="E30" s="5" t="str">
        <f t="shared" si="0"/>
        <v>001 BLACK</v>
      </c>
      <c r="F30" s="3" t="s">
        <v>27</v>
      </c>
      <c r="G30" s="6">
        <v>7672</v>
      </c>
      <c r="H30" s="3">
        <v>31</v>
      </c>
      <c r="I30" s="3" t="s">
        <v>119</v>
      </c>
      <c r="J30" s="1" t="s">
        <v>248</v>
      </c>
    </row>
    <row r="31" spans="1:10" x14ac:dyDescent="0.25">
      <c r="A31" s="2" t="s">
        <v>290</v>
      </c>
      <c r="B31" s="3" t="s">
        <v>112</v>
      </c>
      <c r="C31" s="3" t="s">
        <v>10</v>
      </c>
      <c r="D31" s="2" t="s">
        <v>296</v>
      </c>
      <c r="E31" s="5" t="str">
        <f t="shared" si="0"/>
        <v>001 BLACK</v>
      </c>
      <c r="F31" s="3" t="s">
        <v>29</v>
      </c>
      <c r="G31" s="6">
        <v>7672</v>
      </c>
      <c r="H31" s="3">
        <v>3</v>
      </c>
      <c r="I31" s="3" t="s">
        <v>120</v>
      </c>
      <c r="J31" s="1" t="s">
        <v>249</v>
      </c>
    </row>
    <row r="32" spans="1:10" x14ac:dyDescent="0.25">
      <c r="A32" s="2" t="s">
        <v>290</v>
      </c>
      <c r="B32" s="3" t="s">
        <v>112</v>
      </c>
      <c r="C32" s="3" t="s">
        <v>22</v>
      </c>
      <c r="D32" s="2" t="s">
        <v>297</v>
      </c>
      <c r="E32" s="5" t="str">
        <f t="shared" si="0"/>
        <v>2221 CHOCOLATE BROWN</v>
      </c>
      <c r="F32" s="3" t="s">
        <v>23</v>
      </c>
      <c r="G32" s="6">
        <v>7672</v>
      </c>
      <c r="H32" s="3">
        <v>156</v>
      </c>
      <c r="I32" s="3" t="s">
        <v>113</v>
      </c>
      <c r="J32" s="1" t="s">
        <v>242</v>
      </c>
    </row>
    <row r="33" spans="1:10" x14ac:dyDescent="0.25">
      <c r="A33" s="2" t="s">
        <v>290</v>
      </c>
      <c r="B33" s="3" t="s">
        <v>112</v>
      </c>
      <c r="C33" s="3" t="s">
        <v>22</v>
      </c>
      <c r="D33" s="2" t="s">
        <v>297</v>
      </c>
      <c r="E33" s="5" t="str">
        <f t="shared" si="0"/>
        <v>2221 CHOCOLATE BROWN</v>
      </c>
      <c r="F33" s="3" t="s">
        <v>25</v>
      </c>
      <c r="G33" s="6">
        <v>7672</v>
      </c>
      <c r="H33" s="3">
        <v>249</v>
      </c>
      <c r="I33" s="3" t="s">
        <v>114</v>
      </c>
      <c r="J33" s="1" t="s">
        <v>243</v>
      </c>
    </row>
    <row r="34" spans="1:10" x14ac:dyDescent="0.25">
      <c r="A34" s="2" t="s">
        <v>290</v>
      </c>
      <c r="B34" s="3" t="s">
        <v>112</v>
      </c>
      <c r="C34" s="3" t="s">
        <v>22</v>
      </c>
      <c r="D34" s="2" t="s">
        <v>297</v>
      </c>
      <c r="E34" s="5" t="str">
        <f t="shared" si="0"/>
        <v>2221 CHOCOLATE BROWN</v>
      </c>
      <c r="F34" s="3" t="s">
        <v>27</v>
      </c>
      <c r="G34" s="6">
        <v>7672</v>
      </c>
      <c r="H34" s="3">
        <v>160</v>
      </c>
      <c r="I34" s="3" t="s">
        <v>115</v>
      </c>
      <c r="J34" s="1" t="s">
        <v>244</v>
      </c>
    </row>
    <row r="35" spans="1:10" x14ac:dyDescent="0.25">
      <c r="A35" s="2" t="s">
        <v>290</v>
      </c>
      <c r="B35" s="3" t="s">
        <v>112</v>
      </c>
      <c r="C35" s="3" t="s">
        <v>22</v>
      </c>
      <c r="D35" s="2" t="s">
        <v>297</v>
      </c>
      <c r="E35" s="5" t="str">
        <f t="shared" si="0"/>
        <v>2221 CHOCOLATE BROWN</v>
      </c>
      <c r="F35" s="3" t="s">
        <v>29</v>
      </c>
      <c r="G35" s="6">
        <v>7672</v>
      </c>
      <c r="H35" s="3">
        <v>52</v>
      </c>
      <c r="I35" s="3" t="s">
        <v>116</v>
      </c>
      <c r="J35" s="1" t="s">
        <v>245</v>
      </c>
    </row>
    <row r="36" spans="1:10" x14ac:dyDescent="0.25">
      <c r="A36" s="2" t="s">
        <v>290</v>
      </c>
      <c r="B36" s="3" t="s">
        <v>37</v>
      </c>
      <c r="C36" s="3" t="s">
        <v>38</v>
      </c>
      <c r="D36" s="5" t="s">
        <v>291</v>
      </c>
      <c r="E36" s="5" t="str">
        <f t="shared" si="0"/>
        <v>0014 NOIR/ARGENT VIBRE</v>
      </c>
      <c r="F36" s="3" t="s">
        <v>23</v>
      </c>
      <c r="G36" s="2" t="s">
        <v>298</v>
      </c>
      <c r="H36" s="3">
        <v>7</v>
      </c>
      <c r="I36" s="3" t="s">
        <v>39</v>
      </c>
      <c r="J36" s="1" t="s">
        <v>151</v>
      </c>
    </row>
    <row r="37" spans="1:10" x14ac:dyDescent="0.25">
      <c r="A37" s="2" t="s">
        <v>290</v>
      </c>
      <c r="B37" s="3" t="s">
        <v>37</v>
      </c>
      <c r="C37" s="3" t="s">
        <v>38</v>
      </c>
      <c r="D37" s="5" t="s">
        <v>291</v>
      </c>
      <c r="E37" s="5" t="str">
        <f t="shared" si="0"/>
        <v>0014 NOIR/ARGENT VIBRE</v>
      </c>
      <c r="F37" s="3" t="s">
        <v>25</v>
      </c>
      <c r="G37" s="2" t="s">
        <v>298</v>
      </c>
      <c r="H37" s="3">
        <v>8</v>
      </c>
      <c r="I37" s="3" t="s">
        <v>40</v>
      </c>
      <c r="J37" s="1" t="s">
        <v>152</v>
      </c>
    </row>
    <row r="38" spans="1:10" x14ac:dyDescent="0.25">
      <c r="A38" s="2" t="s">
        <v>290</v>
      </c>
      <c r="B38" s="3" t="s">
        <v>37</v>
      </c>
      <c r="C38" s="3" t="s">
        <v>38</v>
      </c>
      <c r="D38" s="5" t="s">
        <v>291</v>
      </c>
      <c r="E38" s="5" t="str">
        <f t="shared" si="0"/>
        <v>0014 NOIR/ARGENT VIBRE</v>
      </c>
      <c r="F38" s="3" t="s">
        <v>27</v>
      </c>
      <c r="G38" s="2" t="s">
        <v>298</v>
      </c>
      <c r="H38" s="3">
        <v>4</v>
      </c>
      <c r="I38" s="3" t="s">
        <v>41</v>
      </c>
      <c r="J38" s="1" t="s">
        <v>153</v>
      </c>
    </row>
    <row r="39" spans="1:10" x14ac:dyDescent="0.25">
      <c r="A39" s="2" t="s">
        <v>290</v>
      </c>
      <c r="B39" s="3" t="s">
        <v>37</v>
      </c>
      <c r="C39" s="3" t="s">
        <v>38</v>
      </c>
      <c r="D39" s="5" t="s">
        <v>291</v>
      </c>
      <c r="E39" s="5" t="str">
        <f t="shared" si="0"/>
        <v>0014 NOIR/ARGENT VIBRE</v>
      </c>
      <c r="F39" s="3" t="s">
        <v>29</v>
      </c>
      <c r="G39" s="2" t="s">
        <v>298</v>
      </c>
      <c r="H39" s="3">
        <v>2</v>
      </c>
      <c r="I39" s="3" t="s">
        <v>42</v>
      </c>
      <c r="J39" s="1" t="s">
        <v>154</v>
      </c>
    </row>
    <row r="40" spans="1:10" x14ac:dyDescent="0.25">
      <c r="A40" s="2" t="s">
        <v>290</v>
      </c>
      <c r="B40" s="3" t="s">
        <v>37</v>
      </c>
      <c r="C40" s="3" t="s">
        <v>38</v>
      </c>
      <c r="D40" s="5" t="s">
        <v>291</v>
      </c>
      <c r="E40" s="5" t="str">
        <f t="shared" si="0"/>
        <v>0014 NOIR/ARGENT VIBRE</v>
      </c>
      <c r="F40" s="3" t="s">
        <v>23</v>
      </c>
      <c r="G40" s="2" t="s">
        <v>299</v>
      </c>
      <c r="H40" s="3">
        <v>58</v>
      </c>
      <c r="I40" s="3" t="s">
        <v>39</v>
      </c>
      <c r="J40" s="1" t="s">
        <v>184</v>
      </c>
    </row>
    <row r="41" spans="1:10" x14ac:dyDescent="0.25">
      <c r="A41" s="2" t="s">
        <v>290</v>
      </c>
      <c r="B41" s="3" t="s">
        <v>37</v>
      </c>
      <c r="C41" s="3" t="s">
        <v>38</v>
      </c>
      <c r="D41" s="5" t="s">
        <v>291</v>
      </c>
      <c r="E41" s="5" t="str">
        <f t="shared" si="0"/>
        <v>0014 NOIR/ARGENT VIBRE</v>
      </c>
      <c r="F41" s="3" t="s">
        <v>25</v>
      </c>
      <c r="G41" s="2" t="s">
        <v>299</v>
      </c>
      <c r="H41" s="3">
        <v>50</v>
      </c>
      <c r="I41" s="3" t="s">
        <v>40</v>
      </c>
      <c r="J41" s="1" t="s">
        <v>185</v>
      </c>
    </row>
    <row r="42" spans="1:10" x14ac:dyDescent="0.25">
      <c r="A42" s="2" t="s">
        <v>290</v>
      </c>
      <c r="B42" s="3" t="s">
        <v>37</v>
      </c>
      <c r="C42" s="3" t="s">
        <v>38</v>
      </c>
      <c r="D42" s="5" t="s">
        <v>291</v>
      </c>
      <c r="E42" s="5" t="str">
        <f t="shared" si="0"/>
        <v>0014 NOIR/ARGENT VIBRE</v>
      </c>
      <c r="F42" s="3" t="s">
        <v>27</v>
      </c>
      <c r="G42" s="2" t="s">
        <v>299</v>
      </c>
      <c r="H42" s="3">
        <v>15</v>
      </c>
      <c r="I42" s="3" t="s">
        <v>41</v>
      </c>
      <c r="J42" s="1" t="s">
        <v>186</v>
      </c>
    </row>
    <row r="43" spans="1:10" x14ac:dyDescent="0.25">
      <c r="A43" s="2" t="s">
        <v>290</v>
      </c>
      <c r="B43" s="3" t="s">
        <v>37</v>
      </c>
      <c r="C43" s="3" t="s">
        <v>38</v>
      </c>
      <c r="D43" s="5" t="s">
        <v>291</v>
      </c>
      <c r="E43" s="5" t="str">
        <f t="shared" si="0"/>
        <v>0014 NOIR/ARGENT VIBRE</v>
      </c>
      <c r="F43" s="3" t="s">
        <v>23</v>
      </c>
      <c r="G43" s="6">
        <v>7670</v>
      </c>
      <c r="H43" s="3">
        <v>48</v>
      </c>
      <c r="I43" s="3" t="s">
        <v>39</v>
      </c>
      <c r="J43" s="1" t="s">
        <v>252</v>
      </c>
    </row>
    <row r="44" spans="1:10" x14ac:dyDescent="0.25">
      <c r="A44" s="2" t="s">
        <v>290</v>
      </c>
      <c r="B44" s="3" t="s">
        <v>37</v>
      </c>
      <c r="C44" s="3" t="s">
        <v>38</v>
      </c>
      <c r="D44" s="5" t="s">
        <v>291</v>
      </c>
      <c r="E44" s="5" t="str">
        <f t="shared" si="0"/>
        <v>0014 NOIR/ARGENT VIBRE</v>
      </c>
      <c r="F44" s="3" t="s">
        <v>25</v>
      </c>
      <c r="G44" s="6">
        <v>7670</v>
      </c>
      <c r="H44" s="3">
        <v>131</v>
      </c>
      <c r="I44" s="3" t="s">
        <v>40</v>
      </c>
      <c r="J44" s="1" t="s">
        <v>253</v>
      </c>
    </row>
    <row r="45" spans="1:10" x14ac:dyDescent="0.25">
      <c r="A45" s="2" t="s">
        <v>290</v>
      </c>
      <c r="B45" s="3" t="s">
        <v>37</v>
      </c>
      <c r="C45" s="3" t="s">
        <v>38</v>
      </c>
      <c r="D45" s="5" t="s">
        <v>291</v>
      </c>
      <c r="E45" s="5" t="str">
        <f t="shared" si="0"/>
        <v>0014 NOIR/ARGENT VIBRE</v>
      </c>
      <c r="F45" s="3" t="s">
        <v>27</v>
      </c>
      <c r="G45" s="6">
        <v>7670</v>
      </c>
      <c r="H45" s="3">
        <v>111</v>
      </c>
      <c r="I45" s="3" t="s">
        <v>41</v>
      </c>
      <c r="J45" s="1" t="s">
        <v>254</v>
      </c>
    </row>
    <row r="46" spans="1:10" x14ac:dyDescent="0.25">
      <c r="A46" s="2" t="s">
        <v>290</v>
      </c>
      <c r="B46" s="3" t="s">
        <v>37</v>
      </c>
      <c r="C46" s="3" t="s">
        <v>38</v>
      </c>
      <c r="D46" s="5" t="s">
        <v>291</v>
      </c>
      <c r="E46" s="5" t="str">
        <f t="shared" si="0"/>
        <v>0014 NOIR/ARGENT VIBRE</v>
      </c>
      <c r="F46" s="3" t="s">
        <v>29</v>
      </c>
      <c r="G46" s="6">
        <v>7670</v>
      </c>
      <c r="H46" s="3">
        <v>65</v>
      </c>
      <c r="I46" s="3" t="s">
        <v>42</v>
      </c>
      <c r="J46" s="1" t="s">
        <v>255</v>
      </c>
    </row>
    <row r="47" spans="1:10" x14ac:dyDescent="0.25">
      <c r="A47" s="2" t="s">
        <v>290</v>
      </c>
      <c r="B47" s="3" t="s">
        <v>37</v>
      </c>
      <c r="C47" s="3" t="s">
        <v>107</v>
      </c>
      <c r="D47" s="2" t="s">
        <v>300</v>
      </c>
      <c r="E47" s="5" t="str">
        <f t="shared" si="0"/>
        <v>201 COGNAC</v>
      </c>
      <c r="F47" s="3" t="s">
        <v>23</v>
      </c>
      <c r="G47" s="6">
        <v>7670</v>
      </c>
      <c r="H47" s="3">
        <v>9</v>
      </c>
      <c r="I47" s="3" t="s">
        <v>122</v>
      </c>
      <c r="J47" s="1" t="s">
        <v>256</v>
      </c>
    </row>
    <row r="48" spans="1:10" x14ac:dyDescent="0.25">
      <c r="A48" s="2" t="s">
        <v>290</v>
      </c>
      <c r="B48" s="3" t="s">
        <v>37</v>
      </c>
      <c r="C48" s="3" t="s">
        <v>107</v>
      </c>
      <c r="D48" s="2" t="s">
        <v>300</v>
      </c>
      <c r="E48" s="5" t="str">
        <f t="shared" si="0"/>
        <v>201 COGNAC</v>
      </c>
      <c r="F48" s="3" t="s">
        <v>25</v>
      </c>
      <c r="G48" s="6">
        <v>7670</v>
      </c>
      <c r="H48" s="3">
        <v>28</v>
      </c>
      <c r="I48" s="3" t="s">
        <v>123</v>
      </c>
      <c r="J48" s="1" t="s">
        <v>257</v>
      </c>
    </row>
    <row r="49" spans="1:10" x14ac:dyDescent="0.25">
      <c r="A49" s="2" t="s">
        <v>290</v>
      </c>
      <c r="B49" s="3" t="s">
        <v>37</v>
      </c>
      <c r="C49" s="3" t="s">
        <v>107</v>
      </c>
      <c r="D49" s="2" t="s">
        <v>300</v>
      </c>
      <c r="E49" s="5" t="str">
        <f t="shared" si="0"/>
        <v>201 COGNAC</v>
      </c>
      <c r="F49" s="3" t="s">
        <v>27</v>
      </c>
      <c r="G49" s="6">
        <v>7670</v>
      </c>
      <c r="H49" s="3">
        <v>30</v>
      </c>
      <c r="I49" s="3" t="s">
        <v>124</v>
      </c>
      <c r="J49" s="1" t="s">
        <v>258</v>
      </c>
    </row>
    <row r="50" spans="1:10" x14ac:dyDescent="0.25">
      <c r="A50" s="2" t="s">
        <v>290</v>
      </c>
      <c r="B50" s="3" t="s">
        <v>37</v>
      </c>
      <c r="C50" s="3" t="s">
        <v>107</v>
      </c>
      <c r="D50" s="2" t="s">
        <v>300</v>
      </c>
      <c r="E50" s="5" t="str">
        <f t="shared" si="0"/>
        <v>201 COGNAC</v>
      </c>
      <c r="F50" s="3" t="s">
        <v>29</v>
      </c>
      <c r="G50" s="6">
        <v>7670</v>
      </c>
      <c r="H50" s="3">
        <v>21</v>
      </c>
      <c r="I50" s="3" t="s">
        <v>125</v>
      </c>
      <c r="J50" s="1" t="s">
        <v>259</v>
      </c>
    </row>
    <row r="51" spans="1:10" x14ac:dyDescent="0.25">
      <c r="A51" s="2" t="s">
        <v>290</v>
      </c>
      <c r="B51" s="3" t="s">
        <v>106</v>
      </c>
      <c r="C51" s="3" t="s">
        <v>107</v>
      </c>
      <c r="D51" s="2" t="s">
        <v>300</v>
      </c>
      <c r="E51" s="5" t="str">
        <f t="shared" si="0"/>
        <v>201 COGNAC</v>
      </c>
      <c r="F51" s="3" t="s">
        <v>23</v>
      </c>
      <c r="G51" s="6">
        <v>7673</v>
      </c>
      <c r="H51" s="3">
        <v>66</v>
      </c>
      <c r="I51" s="3" t="s">
        <v>108</v>
      </c>
      <c r="J51" s="1" t="s">
        <v>238</v>
      </c>
    </row>
    <row r="52" spans="1:10" x14ac:dyDescent="0.25">
      <c r="A52" s="2" t="s">
        <v>290</v>
      </c>
      <c r="B52" s="3" t="s">
        <v>106</v>
      </c>
      <c r="C52" s="3" t="s">
        <v>107</v>
      </c>
      <c r="D52" s="2" t="s">
        <v>300</v>
      </c>
      <c r="E52" s="5" t="str">
        <f t="shared" si="0"/>
        <v>201 COGNAC</v>
      </c>
      <c r="F52" s="3" t="s">
        <v>25</v>
      </c>
      <c r="G52" s="6">
        <v>7673</v>
      </c>
      <c r="H52" s="3">
        <v>98</v>
      </c>
      <c r="I52" s="3" t="s">
        <v>109</v>
      </c>
      <c r="J52" s="1" t="s">
        <v>239</v>
      </c>
    </row>
    <row r="53" spans="1:10" x14ac:dyDescent="0.25">
      <c r="A53" s="2" t="s">
        <v>290</v>
      </c>
      <c r="B53" s="3" t="s">
        <v>106</v>
      </c>
      <c r="C53" s="3" t="s">
        <v>107</v>
      </c>
      <c r="D53" s="2" t="s">
        <v>300</v>
      </c>
      <c r="E53" s="5" t="str">
        <f t="shared" si="0"/>
        <v>201 COGNAC</v>
      </c>
      <c r="F53" s="3" t="s">
        <v>27</v>
      </c>
      <c r="G53" s="6">
        <v>7673</v>
      </c>
      <c r="H53" s="3">
        <v>55</v>
      </c>
      <c r="I53" s="3" t="s">
        <v>110</v>
      </c>
      <c r="J53" s="1" t="s">
        <v>240</v>
      </c>
    </row>
    <row r="54" spans="1:10" x14ac:dyDescent="0.25">
      <c r="A54" s="2" t="s">
        <v>290</v>
      </c>
      <c r="B54" s="3" t="s">
        <v>106</v>
      </c>
      <c r="C54" s="3" t="s">
        <v>107</v>
      </c>
      <c r="D54" s="2" t="s">
        <v>300</v>
      </c>
      <c r="E54" s="5" t="str">
        <f t="shared" si="0"/>
        <v>201 COGNAC</v>
      </c>
      <c r="F54" s="3" t="s">
        <v>29</v>
      </c>
      <c r="G54" s="6">
        <v>7673</v>
      </c>
      <c r="H54" s="3">
        <v>15</v>
      </c>
      <c r="I54" s="3" t="s">
        <v>111</v>
      </c>
      <c r="J54" s="1" t="s">
        <v>241</v>
      </c>
    </row>
    <row r="55" spans="1:10" x14ac:dyDescent="0.25">
      <c r="A55" s="2" t="s">
        <v>290</v>
      </c>
      <c r="B55" s="3" t="s">
        <v>97</v>
      </c>
      <c r="C55" s="3" t="s">
        <v>38</v>
      </c>
      <c r="D55" s="5" t="s">
        <v>291</v>
      </c>
      <c r="E55" s="5" t="str">
        <f t="shared" si="0"/>
        <v>0014 NOIR/ARGENT VIBRE</v>
      </c>
      <c r="F55" s="3" t="s">
        <v>23</v>
      </c>
      <c r="G55" s="6">
        <v>7674</v>
      </c>
      <c r="H55" s="3">
        <v>17</v>
      </c>
      <c r="I55" s="3" t="s">
        <v>98</v>
      </c>
      <c r="J55" s="1" t="s">
        <v>230</v>
      </c>
    </row>
    <row r="56" spans="1:10" x14ac:dyDescent="0.25">
      <c r="A56" s="2" t="s">
        <v>290</v>
      </c>
      <c r="B56" s="3" t="s">
        <v>97</v>
      </c>
      <c r="C56" s="3" t="s">
        <v>38</v>
      </c>
      <c r="D56" s="5" t="s">
        <v>291</v>
      </c>
      <c r="E56" s="5" t="str">
        <f t="shared" si="0"/>
        <v>0014 NOIR/ARGENT VIBRE</v>
      </c>
      <c r="F56" s="3" t="s">
        <v>25</v>
      </c>
      <c r="G56" s="6">
        <v>7674</v>
      </c>
      <c r="H56" s="3">
        <v>32</v>
      </c>
      <c r="I56" s="3" t="s">
        <v>99</v>
      </c>
      <c r="J56" s="1" t="s">
        <v>231</v>
      </c>
    </row>
    <row r="57" spans="1:10" x14ac:dyDescent="0.25">
      <c r="A57" s="2" t="s">
        <v>290</v>
      </c>
      <c r="B57" s="3" t="s">
        <v>97</v>
      </c>
      <c r="C57" s="3" t="s">
        <v>38</v>
      </c>
      <c r="D57" s="5" t="s">
        <v>291</v>
      </c>
      <c r="E57" s="5" t="str">
        <f t="shared" si="0"/>
        <v>0014 NOIR/ARGENT VIBRE</v>
      </c>
      <c r="F57" s="3" t="s">
        <v>27</v>
      </c>
      <c r="G57" s="6">
        <v>7674</v>
      </c>
      <c r="H57" s="3">
        <v>23</v>
      </c>
      <c r="I57" s="3" t="s">
        <v>100</v>
      </c>
      <c r="J57" s="1" t="s">
        <v>232</v>
      </c>
    </row>
    <row r="58" spans="1:10" x14ac:dyDescent="0.25">
      <c r="A58" s="2" t="s">
        <v>290</v>
      </c>
      <c r="B58" s="3" t="s">
        <v>97</v>
      </c>
      <c r="C58" s="3" t="s">
        <v>38</v>
      </c>
      <c r="D58" s="5" t="s">
        <v>291</v>
      </c>
      <c r="E58" s="5" t="str">
        <f t="shared" si="0"/>
        <v>0014 NOIR/ARGENT VIBRE</v>
      </c>
      <c r="F58" s="3" t="s">
        <v>29</v>
      </c>
      <c r="G58" s="6">
        <v>7674</v>
      </c>
      <c r="H58" s="3">
        <v>6</v>
      </c>
      <c r="I58" s="3" t="s">
        <v>101</v>
      </c>
      <c r="J58" s="1" t="s">
        <v>233</v>
      </c>
    </row>
    <row r="59" spans="1:10" x14ac:dyDescent="0.25">
      <c r="A59" s="2" t="s">
        <v>290</v>
      </c>
      <c r="B59" s="3" t="s">
        <v>97</v>
      </c>
      <c r="C59" s="3" t="s">
        <v>54</v>
      </c>
      <c r="D59" s="2" t="s">
        <v>292</v>
      </c>
      <c r="E59" s="5" t="str">
        <f t="shared" si="0"/>
        <v>0015 NOIR/LAITON VIBRE</v>
      </c>
      <c r="F59" s="3" t="s">
        <v>23</v>
      </c>
      <c r="G59" s="6">
        <v>7674</v>
      </c>
      <c r="H59" s="3">
        <v>198</v>
      </c>
      <c r="I59" s="3" t="s">
        <v>102</v>
      </c>
      <c r="J59" s="1" t="s">
        <v>234</v>
      </c>
    </row>
    <row r="60" spans="1:10" x14ac:dyDescent="0.25">
      <c r="A60" s="2" t="s">
        <v>290</v>
      </c>
      <c r="B60" s="3" t="s">
        <v>97</v>
      </c>
      <c r="C60" s="3" t="s">
        <v>54</v>
      </c>
      <c r="D60" s="2" t="s">
        <v>292</v>
      </c>
      <c r="E60" s="5" t="str">
        <f t="shared" si="0"/>
        <v>0015 NOIR/LAITON VIBRE</v>
      </c>
      <c r="F60" s="3" t="s">
        <v>25</v>
      </c>
      <c r="G60" s="6">
        <v>7674</v>
      </c>
      <c r="H60" s="3">
        <v>304</v>
      </c>
      <c r="I60" s="3" t="s">
        <v>103</v>
      </c>
      <c r="J60" s="1" t="s">
        <v>235</v>
      </c>
    </row>
    <row r="61" spans="1:10" x14ac:dyDescent="0.25">
      <c r="A61" s="2" t="s">
        <v>290</v>
      </c>
      <c r="B61" s="3" t="s">
        <v>97</v>
      </c>
      <c r="C61" s="3" t="s">
        <v>54</v>
      </c>
      <c r="D61" s="2" t="s">
        <v>292</v>
      </c>
      <c r="E61" s="5" t="str">
        <f t="shared" si="0"/>
        <v>0015 NOIR/LAITON VIBRE</v>
      </c>
      <c r="F61" s="3" t="s">
        <v>27</v>
      </c>
      <c r="G61" s="6">
        <v>7674</v>
      </c>
      <c r="H61" s="3">
        <v>196</v>
      </c>
      <c r="I61" s="3" t="s">
        <v>104</v>
      </c>
      <c r="J61" s="1" t="s">
        <v>236</v>
      </c>
    </row>
    <row r="62" spans="1:10" x14ac:dyDescent="0.25">
      <c r="A62" s="2" t="s">
        <v>290</v>
      </c>
      <c r="B62" s="3" t="s">
        <v>97</v>
      </c>
      <c r="C62" s="3" t="s">
        <v>54</v>
      </c>
      <c r="D62" s="2" t="s">
        <v>292</v>
      </c>
      <c r="E62" s="5" t="str">
        <f t="shared" si="0"/>
        <v>0015 NOIR/LAITON VIBRE</v>
      </c>
      <c r="F62" s="3" t="s">
        <v>29</v>
      </c>
      <c r="G62" s="6">
        <v>7674</v>
      </c>
      <c r="H62" s="3">
        <v>70</v>
      </c>
      <c r="I62" s="3" t="s">
        <v>105</v>
      </c>
      <c r="J62" s="1" t="s">
        <v>237</v>
      </c>
    </row>
    <row r="63" spans="1:10" x14ac:dyDescent="0.25">
      <c r="A63" s="2" t="s">
        <v>290</v>
      </c>
      <c r="B63" s="3" t="s">
        <v>21</v>
      </c>
      <c r="C63" s="3" t="s">
        <v>10</v>
      </c>
      <c r="D63" s="2" t="s">
        <v>296</v>
      </c>
      <c r="E63" s="5" t="str">
        <f t="shared" si="0"/>
        <v>001 BLACK</v>
      </c>
      <c r="F63" s="3" t="s">
        <v>23</v>
      </c>
      <c r="G63" s="2" t="s">
        <v>301</v>
      </c>
      <c r="H63" s="3">
        <v>21</v>
      </c>
      <c r="I63" s="3" t="s">
        <v>31</v>
      </c>
      <c r="J63" s="1" t="s">
        <v>146</v>
      </c>
    </row>
    <row r="64" spans="1:10" x14ac:dyDescent="0.25">
      <c r="A64" s="2" t="s">
        <v>290</v>
      </c>
      <c r="B64" s="3" t="s">
        <v>21</v>
      </c>
      <c r="C64" s="3" t="s">
        <v>10</v>
      </c>
      <c r="D64" s="2" t="s">
        <v>296</v>
      </c>
      <c r="E64" s="5" t="str">
        <f t="shared" si="0"/>
        <v>001 BLACK</v>
      </c>
      <c r="F64" s="3" t="s">
        <v>25</v>
      </c>
      <c r="G64" s="2" t="s">
        <v>301</v>
      </c>
      <c r="H64" s="3">
        <v>18</v>
      </c>
      <c r="I64" s="3" t="s">
        <v>32</v>
      </c>
      <c r="J64" s="1" t="s">
        <v>147</v>
      </c>
    </row>
    <row r="65" spans="1:10" x14ac:dyDescent="0.25">
      <c r="A65" s="2" t="s">
        <v>290</v>
      </c>
      <c r="B65" s="3" t="s">
        <v>21</v>
      </c>
      <c r="C65" s="3" t="s">
        <v>10</v>
      </c>
      <c r="D65" s="2" t="s">
        <v>296</v>
      </c>
      <c r="E65" s="5" t="str">
        <f t="shared" si="0"/>
        <v>001 BLACK</v>
      </c>
      <c r="F65" s="3" t="s">
        <v>27</v>
      </c>
      <c r="G65" s="2" t="s">
        <v>301</v>
      </c>
      <c r="H65" s="3">
        <v>8</v>
      </c>
      <c r="I65" s="3" t="s">
        <v>33</v>
      </c>
      <c r="J65" s="1" t="s">
        <v>148</v>
      </c>
    </row>
    <row r="66" spans="1:10" x14ac:dyDescent="0.25">
      <c r="A66" s="2" t="s">
        <v>290</v>
      </c>
      <c r="B66" s="3" t="s">
        <v>21</v>
      </c>
      <c r="C66" s="3" t="s">
        <v>10</v>
      </c>
      <c r="D66" s="2" t="s">
        <v>296</v>
      </c>
      <c r="E66" s="5" t="str">
        <f t="shared" ref="E66:E109" si="1">_xlfn.CONCAT(C66," ",D66)</f>
        <v>001 BLACK</v>
      </c>
      <c r="F66" s="3" t="s">
        <v>29</v>
      </c>
      <c r="G66" s="2" t="s">
        <v>301</v>
      </c>
      <c r="H66" s="3">
        <v>3</v>
      </c>
      <c r="I66" s="3" t="s">
        <v>34</v>
      </c>
      <c r="J66" s="1" t="s">
        <v>149</v>
      </c>
    </row>
    <row r="67" spans="1:10" x14ac:dyDescent="0.25">
      <c r="A67" s="2" t="s">
        <v>290</v>
      </c>
      <c r="B67" s="3" t="s">
        <v>21</v>
      </c>
      <c r="C67" s="3" t="s">
        <v>10</v>
      </c>
      <c r="D67" s="2" t="s">
        <v>296</v>
      </c>
      <c r="E67" s="5" t="str">
        <f t="shared" si="1"/>
        <v>001 BLACK</v>
      </c>
      <c r="F67" s="3" t="s">
        <v>23</v>
      </c>
      <c r="G67" s="2" t="s">
        <v>302</v>
      </c>
      <c r="H67" s="3">
        <v>14</v>
      </c>
      <c r="I67" s="3" t="s">
        <v>31</v>
      </c>
      <c r="J67" s="1" t="s">
        <v>182</v>
      </c>
    </row>
    <row r="68" spans="1:10" x14ac:dyDescent="0.25">
      <c r="A68" s="2" t="s">
        <v>290</v>
      </c>
      <c r="B68" s="3" t="s">
        <v>21</v>
      </c>
      <c r="C68" s="3" t="s">
        <v>10</v>
      </c>
      <c r="D68" s="2" t="s">
        <v>296</v>
      </c>
      <c r="E68" s="5" t="str">
        <f t="shared" si="1"/>
        <v>001 BLACK</v>
      </c>
      <c r="F68" s="3" t="s">
        <v>25</v>
      </c>
      <c r="G68" s="2" t="s">
        <v>302</v>
      </c>
      <c r="H68" s="3">
        <v>6</v>
      </c>
      <c r="I68" s="3" t="s">
        <v>32</v>
      </c>
      <c r="J68" s="1" t="s">
        <v>183</v>
      </c>
    </row>
    <row r="69" spans="1:10" x14ac:dyDescent="0.25">
      <c r="A69" s="2" t="s">
        <v>290</v>
      </c>
      <c r="B69" s="3" t="s">
        <v>21</v>
      </c>
      <c r="C69" s="3" t="s">
        <v>10</v>
      </c>
      <c r="D69" s="2" t="s">
        <v>296</v>
      </c>
      <c r="E69" s="5" t="str">
        <f t="shared" si="1"/>
        <v>001 BLACK</v>
      </c>
      <c r="F69" s="3" t="s">
        <v>23</v>
      </c>
      <c r="G69" s="6">
        <v>7675</v>
      </c>
      <c r="H69" s="3">
        <v>117</v>
      </c>
      <c r="I69" s="3" t="s">
        <v>31</v>
      </c>
      <c r="J69" s="1" t="s">
        <v>226</v>
      </c>
    </row>
    <row r="70" spans="1:10" x14ac:dyDescent="0.25">
      <c r="A70" s="2" t="s">
        <v>290</v>
      </c>
      <c r="B70" s="3" t="s">
        <v>21</v>
      </c>
      <c r="C70" s="3" t="s">
        <v>10</v>
      </c>
      <c r="D70" s="2" t="s">
        <v>296</v>
      </c>
      <c r="E70" s="5" t="str">
        <f t="shared" si="1"/>
        <v>001 BLACK</v>
      </c>
      <c r="F70" s="3" t="s">
        <v>25</v>
      </c>
      <c r="G70" s="6">
        <v>7675</v>
      </c>
      <c r="H70" s="3">
        <v>240</v>
      </c>
      <c r="I70" s="3" t="s">
        <v>32</v>
      </c>
      <c r="J70" s="1" t="s">
        <v>227</v>
      </c>
    </row>
    <row r="71" spans="1:10" x14ac:dyDescent="0.25">
      <c r="A71" s="2" t="s">
        <v>290</v>
      </c>
      <c r="B71" s="3" t="s">
        <v>21</v>
      </c>
      <c r="C71" s="3" t="s">
        <v>10</v>
      </c>
      <c r="D71" s="2" t="s">
        <v>296</v>
      </c>
      <c r="E71" s="5" t="str">
        <f t="shared" si="1"/>
        <v>001 BLACK</v>
      </c>
      <c r="F71" s="3" t="s">
        <v>27</v>
      </c>
      <c r="G71" s="6">
        <v>7675</v>
      </c>
      <c r="H71" s="3">
        <v>204</v>
      </c>
      <c r="I71" s="3" t="s">
        <v>33</v>
      </c>
      <c r="J71" s="1" t="s">
        <v>228</v>
      </c>
    </row>
    <row r="72" spans="1:10" x14ac:dyDescent="0.25">
      <c r="A72" s="2" t="s">
        <v>290</v>
      </c>
      <c r="B72" s="3" t="s">
        <v>21</v>
      </c>
      <c r="C72" s="3" t="s">
        <v>10</v>
      </c>
      <c r="D72" s="2" t="s">
        <v>296</v>
      </c>
      <c r="E72" s="5" t="str">
        <f t="shared" si="1"/>
        <v>001 BLACK</v>
      </c>
      <c r="F72" s="3" t="s">
        <v>29</v>
      </c>
      <c r="G72" s="6">
        <v>7675</v>
      </c>
      <c r="H72" s="3">
        <v>91</v>
      </c>
      <c r="I72" s="3" t="s">
        <v>34</v>
      </c>
      <c r="J72" s="1" t="s">
        <v>229</v>
      </c>
    </row>
    <row r="73" spans="1:10" x14ac:dyDescent="0.25">
      <c r="A73" s="2" t="s">
        <v>290</v>
      </c>
      <c r="B73" s="3" t="s">
        <v>21</v>
      </c>
      <c r="C73" s="3" t="s">
        <v>22</v>
      </c>
      <c r="D73" s="2" t="s">
        <v>297</v>
      </c>
      <c r="E73" s="5" t="str">
        <f t="shared" si="1"/>
        <v>2221 CHOCOLATE BROWN</v>
      </c>
      <c r="F73" s="3" t="s">
        <v>23</v>
      </c>
      <c r="G73" s="2" t="s">
        <v>301</v>
      </c>
      <c r="H73" s="3">
        <v>9</v>
      </c>
      <c r="I73" s="3" t="s">
        <v>24</v>
      </c>
      <c r="J73" s="1" t="s">
        <v>142</v>
      </c>
    </row>
    <row r="74" spans="1:10" x14ac:dyDescent="0.25">
      <c r="A74" s="2" t="s">
        <v>290</v>
      </c>
      <c r="B74" s="3" t="s">
        <v>21</v>
      </c>
      <c r="C74" s="3" t="s">
        <v>22</v>
      </c>
      <c r="D74" s="2" t="s">
        <v>297</v>
      </c>
      <c r="E74" s="5" t="str">
        <f t="shared" si="1"/>
        <v>2221 CHOCOLATE BROWN</v>
      </c>
      <c r="F74" s="3" t="s">
        <v>25</v>
      </c>
      <c r="G74" s="2" t="s">
        <v>301</v>
      </c>
      <c r="H74" s="3">
        <v>10</v>
      </c>
      <c r="I74" s="3" t="s">
        <v>26</v>
      </c>
      <c r="J74" s="1" t="s">
        <v>143</v>
      </c>
    </row>
    <row r="75" spans="1:10" x14ac:dyDescent="0.25">
      <c r="A75" s="2" t="s">
        <v>290</v>
      </c>
      <c r="B75" s="3" t="s">
        <v>21</v>
      </c>
      <c r="C75" s="3" t="s">
        <v>22</v>
      </c>
      <c r="D75" s="2" t="s">
        <v>297</v>
      </c>
      <c r="E75" s="5" t="str">
        <f t="shared" si="1"/>
        <v>2221 CHOCOLATE BROWN</v>
      </c>
      <c r="F75" s="3" t="s">
        <v>27</v>
      </c>
      <c r="G75" s="2" t="s">
        <v>301</v>
      </c>
      <c r="H75" s="3">
        <v>5</v>
      </c>
      <c r="I75" s="3" t="s">
        <v>28</v>
      </c>
      <c r="J75" s="1" t="s">
        <v>144</v>
      </c>
    </row>
    <row r="76" spans="1:10" x14ac:dyDescent="0.25">
      <c r="A76" s="2" t="s">
        <v>290</v>
      </c>
      <c r="B76" s="3" t="s">
        <v>21</v>
      </c>
      <c r="C76" s="3" t="s">
        <v>22</v>
      </c>
      <c r="D76" s="2" t="s">
        <v>297</v>
      </c>
      <c r="E76" s="5" t="str">
        <f t="shared" si="1"/>
        <v>2221 CHOCOLATE BROWN</v>
      </c>
      <c r="F76" s="3" t="s">
        <v>29</v>
      </c>
      <c r="G76" s="2" t="s">
        <v>301</v>
      </c>
      <c r="H76" s="3">
        <v>2</v>
      </c>
      <c r="I76" s="3" t="s">
        <v>30</v>
      </c>
      <c r="J76" s="1" t="s">
        <v>145</v>
      </c>
    </row>
    <row r="77" spans="1:10" x14ac:dyDescent="0.25">
      <c r="A77" s="2" t="s">
        <v>290</v>
      </c>
      <c r="B77" s="3" t="s">
        <v>21</v>
      </c>
      <c r="C77" s="3" t="s">
        <v>22</v>
      </c>
      <c r="D77" s="2" t="s">
        <v>297</v>
      </c>
      <c r="E77" s="5" t="str">
        <f t="shared" si="1"/>
        <v>2221 CHOCOLATE BROWN</v>
      </c>
      <c r="F77" s="3" t="s">
        <v>23</v>
      </c>
      <c r="G77" s="6">
        <v>7675</v>
      </c>
      <c r="H77" s="3">
        <v>135</v>
      </c>
      <c r="I77" s="3" t="s">
        <v>24</v>
      </c>
      <c r="J77" s="1" t="s">
        <v>222</v>
      </c>
    </row>
    <row r="78" spans="1:10" x14ac:dyDescent="0.25">
      <c r="A78" s="2" t="s">
        <v>290</v>
      </c>
      <c r="B78" s="3" t="s">
        <v>21</v>
      </c>
      <c r="C78" s="3" t="s">
        <v>22</v>
      </c>
      <c r="D78" s="2" t="s">
        <v>297</v>
      </c>
      <c r="E78" s="5" t="str">
        <f t="shared" si="1"/>
        <v>2221 CHOCOLATE BROWN</v>
      </c>
      <c r="F78" s="3" t="s">
        <v>25</v>
      </c>
      <c r="G78" s="6">
        <v>7675</v>
      </c>
      <c r="H78" s="3">
        <v>287</v>
      </c>
      <c r="I78" s="3" t="s">
        <v>26</v>
      </c>
      <c r="J78" s="1" t="s">
        <v>223</v>
      </c>
    </row>
    <row r="79" spans="1:10" x14ac:dyDescent="0.25">
      <c r="A79" s="2" t="s">
        <v>290</v>
      </c>
      <c r="B79" s="3" t="s">
        <v>21</v>
      </c>
      <c r="C79" s="3" t="s">
        <v>22</v>
      </c>
      <c r="D79" s="2" t="s">
        <v>297</v>
      </c>
      <c r="E79" s="5" t="str">
        <f t="shared" si="1"/>
        <v>2221 CHOCOLATE BROWN</v>
      </c>
      <c r="F79" s="3" t="s">
        <v>27</v>
      </c>
      <c r="G79" s="6">
        <v>7675</v>
      </c>
      <c r="H79" s="3">
        <v>235</v>
      </c>
      <c r="I79" s="3" t="s">
        <v>28</v>
      </c>
      <c r="J79" s="1" t="s">
        <v>224</v>
      </c>
    </row>
    <row r="80" spans="1:10" x14ac:dyDescent="0.25">
      <c r="A80" s="2" t="s">
        <v>290</v>
      </c>
      <c r="B80" s="3" t="s">
        <v>21</v>
      </c>
      <c r="C80" s="3" t="s">
        <v>22</v>
      </c>
      <c r="D80" s="2" t="s">
        <v>297</v>
      </c>
      <c r="E80" s="5" t="str">
        <f t="shared" si="1"/>
        <v>2221 CHOCOLATE BROWN</v>
      </c>
      <c r="F80" s="3" t="s">
        <v>29</v>
      </c>
      <c r="G80" s="6">
        <v>7675</v>
      </c>
      <c r="H80" s="3">
        <v>120</v>
      </c>
      <c r="I80" s="3" t="s">
        <v>30</v>
      </c>
      <c r="J80" s="1" t="s">
        <v>225</v>
      </c>
    </row>
    <row r="81" spans="1:10" x14ac:dyDescent="0.25">
      <c r="A81" s="2" t="s">
        <v>290</v>
      </c>
      <c r="B81" s="3" t="s">
        <v>50</v>
      </c>
      <c r="C81" s="3" t="s">
        <v>10</v>
      </c>
      <c r="D81" s="3" t="s">
        <v>296</v>
      </c>
      <c r="E81" s="5" t="str">
        <f t="shared" si="1"/>
        <v>001 BLACK</v>
      </c>
      <c r="F81" s="3" t="s">
        <v>8</v>
      </c>
      <c r="G81" s="2" t="s">
        <v>304</v>
      </c>
      <c r="H81" s="3">
        <v>7</v>
      </c>
      <c r="I81" s="3" t="s">
        <v>51</v>
      </c>
      <c r="J81" s="1" t="s">
        <v>159</v>
      </c>
    </row>
    <row r="82" spans="1:10" x14ac:dyDescent="0.25">
      <c r="A82" s="2" t="s">
        <v>290</v>
      </c>
      <c r="B82" s="3" t="s">
        <v>50</v>
      </c>
      <c r="C82" s="3" t="s">
        <v>10</v>
      </c>
      <c r="D82" s="3" t="s">
        <v>296</v>
      </c>
      <c r="E82" s="5" t="str">
        <f t="shared" si="1"/>
        <v>001 BLACK</v>
      </c>
      <c r="F82" s="3" t="s">
        <v>8</v>
      </c>
      <c r="G82" s="6">
        <v>7666</v>
      </c>
      <c r="H82" s="3">
        <v>28</v>
      </c>
      <c r="I82" s="3" t="s">
        <v>51</v>
      </c>
      <c r="J82" s="1" t="s">
        <v>268</v>
      </c>
    </row>
    <row r="83" spans="1:10" x14ac:dyDescent="0.25">
      <c r="A83" s="2" t="s">
        <v>290</v>
      </c>
      <c r="B83" s="3" t="s">
        <v>50</v>
      </c>
      <c r="C83" s="3" t="s">
        <v>47</v>
      </c>
      <c r="D83" s="3" t="s">
        <v>303</v>
      </c>
      <c r="E83" s="5" t="str">
        <f t="shared" si="1"/>
        <v>718 VANILLA CREAM</v>
      </c>
      <c r="F83" s="3" t="s">
        <v>8</v>
      </c>
      <c r="G83" s="2" t="s">
        <v>305</v>
      </c>
      <c r="H83" s="3">
        <v>7</v>
      </c>
      <c r="I83" s="3" t="s">
        <v>52</v>
      </c>
      <c r="J83" s="1" t="s">
        <v>160</v>
      </c>
    </row>
    <row r="84" spans="1:10" x14ac:dyDescent="0.25">
      <c r="A84" s="2" t="s">
        <v>290</v>
      </c>
      <c r="B84" s="3" t="s">
        <v>50</v>
      </c>
      <c r="C84" s="3" t="s">
        <v>47</v>
      </c>
      <c r="D84" s="3" t="s">
        <v>303</v>
      </c>
      <c r="E84" s="5" t="str">
        <f t="shared" si="1"/>
        <v>718 VANILLA CREAM</v>
      </c>
      <c r="F84" s="3" t="s">
        <v>8</v>
      </c>
      <c r="G84" s="2" t="s">
        <v>304</v>
      </c>
      <c r="H84" s="3">
        <v>24</v>
      </c>
      <c r="I84" s="3" t="s">
        <v>52</v>
      </c>
      <c r="J84" s="1" t="s">
        <v>189</v>
      </c>
    </row>
    <row r="85" spans="1:10" x14ac:dyDescent="0.25">
      <c r="A85" s="2" t="s">
        <v>290</v>
      </c>
      <c r="B85" s="3" t="s">
        <v>50</v>
      </c>
      <c r="C85" s="3" t="s">
        <v>47</v>
      </c>
      <c r="D85" s="3" t="s">
        <v>303</v>
      </c>
      <c r="E85" s="5" t="str">
        <f t="shared" si="1"/>
        <v>718 VANILLA CREAM</v>
      </c>
      <c r="F85" s="3" t="s">
        <v>8</v>
      </c>
      <c r="G85" s="6">
        <v>7666</v>
      </c>
      <c r="H85" s="3">
        <v>71</v>
      </c>
      <c r="I85" s="3" t="s">
        <v>52</v>
      </c>
      <c r="J85" s="1" t="s">
        <v>269</v>
      </c>
    </row>
    <row r="86" spans="1:10" x14ac:dyDescent="0.25">
      <c r="A86" s="2" t="s">
        <v>290</v>
      </c>
      <c r="B86" s="3" t="s">
        <v>50</v>
      </c>
      <c r="C86" s="3" t="s">
        <v>77</v>
      </c>
      <c r="D86" s="3" t="s">
        <v>306</v>
      </c>
      <c r="E86" s="5" t="str">
        <f t="shared" si="1"/>
        <v>A237 MOCHA</v>
      </c>
      <c r="F86" s="3" t="s">
        <v>8</v>
      </c>
      <c r="G86" s="2" t="s">
        <v>305</v>
      </c>
      <c r="H86" s="3">
        <v>30</v>
      </c>
      <c r="I86" s="3" t="s">
        <v>78</v>
      </c>
      <c r="J86" s="1" t="s">
        <v>188</v>
      </c>
    </row>
    <row r="87" spans="1:10" x14ac:dyDescent="0.25">
      <c r="A87" s="2" t="s">
        <v>290</v>
      </c>
      <c r="B87" s="3" t="s">
        <v>50</v>
      </c>
      <c r="C87" s="3" t="s">
        <v>77</v>
      </c>
      <c r="D87" s="3" t="s">
        <v>306</v>
      </c>
      <c r="E87" s="5" t="str">
        <f t="shared" si="1"/>
        <v>A237 MOCHA</v>
      </c>
      <c r="F87" s="3" t="s">
        <v>8</v>
      </c>
      <c r="G87" s="6">
        <v>7666</v>
      </c>
      <c r="H87" s="3">
        <v>95</v>
      </c>
      <c r="I87" s="3" t="s">
        <v>78</v>
      </c>
      <c r="J87" s="1" t="s">
        <v>267</v>
      </c>
    </row>
    <row r="88" spans="1:10" x14ac:dyDescent="0.25">
      <c r="A88" s="2" t="s">
        <v>290</v>
      </c>
      <c r="B88" s="3" t="s">
        <v>94</v>
      </c>
      <c r="C88" s="3" t="s">
        <v>10</v>
      </c>
      <c r="D88" s="3" t="s">
        <v>296</v>
      </c>
      <c r="E88" s="5" t="str">
        <f t="shared" si="1"/>
        <v>001 BLACK</v>
      </c>
      <c r="F88" s="3" t="s">
        <v>8</v>
      </c>
      <c r="G88" s="6">
        <v>7676</v>
      </c>
      <c r="H88" s="3">
        <v>13</v>
      </c>
      <c r="I88" s="3" t="s">
        <v>96</v>
      </c>
      <c r="J88" s="1" t="s">
        <v>221</v>
      </c>
    </row>
    <row r="89" spans="1:10" x14ac:dyDescent="0.25">
      <c r="A89" s="2" t="s">
        <v>290</v>
      </c>
      <c r="B89" s="3" t="s">
        <v>94</v>
      </c>
      <c r="C89" s="3" t="s">
        <v>22</v>
      </c>
      <c r="D89" s="3" t="s">
        <v>297</v>
      </c>
      <c r="E89" s="5" t="str">
        <f t="shared" si="1"/>
        <v>2221 CHOCOLATE BROWN</v>
      </c>
      <c r="F89" s="3" t="s">
        <v>8</v>
      </c>
      <c r="G89" s="6">
        <v>7676</v>
      </c>
      <c r="H89" s="3">
        <v>135</v>
      </c>
      <c r="I89" s="3" t="s">
        <v>95</v>
      </c>
      <c r="J89" s="1" t="s">
        <v>220</v>
      </c>
    </row>
    <row r="90" spans="1:10" x14ac:dyDescent="0.25">
      <c r="A90" s="2" t="s">
        <v>290</v>
      </c>
      <c r="B90" s="3" t="s">
        <v>35</v>
      </c>
      <c r="C90" s="3" t="s">
        <v>10</v>
      </c>
      <c r="D90" s="3" t="s">
        <v>296</v>
      </c>
      <c r="E90" s="5" t="str">
        <f t="shared" si="1"/>
        <v>001 BLACK</v>
      </c>
      <c r="F90" s="3" t="s">
        <v>8</v>
      </c>
      <c r="G90" s="2" t="s">
        <v>307</v>
      </c>
      <c r="H90" s="3">
        <v>17</v>
      </c>
      <c r="I90" s="3" t="s">
        <v>36</v>
      </c>
      <c r="J90" s="1" t="s">
        <v>150</v>
      </c>
    </row>
    <row r="91" spans="1:10" x14ac:dyDescent="0.25">
      <c r="A91" s="2" t="s">
        <v>290</v>
      </c>
      <c r="B91" s="3" t="s">
        <v>35</v>
      </c>
      <c r="C91" s="3" t="s">
        <v>10</v>
      </c>
      <c r="D91" s="3" t="s">
        <v>296</v>
      </c>
      <c r="E91" s="5" t="str">
        <f t="shared" si="1"/>
        <v>001 BLACK</v>
      </c>
      <c r="F91" s="3" t="s">
        <v>8</v>
      </c>
      <c r="G91" s="6">
        <v>7671</v>
      </c>
      <c r="H91" s="3">
        <v>104</v>
      </c>
      <c r="I91" s="3" t="s">
        <v>36</v>
      </c>
      <c r="J91" s="1" t="s">
        <v>251</v>
      </c>
    </row>
    <row r="92" spans="1:10" x14ac:dyDescent="0.25">
      <c r="A92" s="2" t="s">
        <v>290</v>
      </c>
      <c r="B92" s="3" t="s">
        <v>35</v>
      </c>
      <c r="C92" s="3" t="s">
        <v>77</v>
      </c>
      <c r="D92" s="3" t="s">
        <v>306</v>
      </c>
      <c r="E92" s="5" t="str">
        <f t="shared" si="1"/>
        <v>A237 MOCHA</v>
      </c>
      <c r="F92" s="3" t="s">
        <v>8</v>
      </c>
      <c r="G92" s="6">
        <v>7671</v>
      </c>
      <c r="H92" s="3">
        <v>26</v>
      </c>
      <c r="I92" s="3" t="s">
        <v>121</v>
      </c>
      <c r="J92" s="1" t="s">
        <v>250</v>
      </c>
    </row>
    <row r="93" spans="1:10" x14ac:dyDescent="0.25">
      <c r="A93" s="2" t="s">
        <v>290</v>
      </c>
      <c r="B93" s="3" t="s">
        <v>46</v>
      </c>
      <c r="C93" s="3" t="s">
        <v>10</v>
      </c>
      <c r="D93" s="3" t="s">
        <v>296</v>
      </c>
      <c r="E93" s="5" t="str">
        <f t="shared" si="1"/>
        <v>001 BLACK</v>
      </c>
      <c r="F93" s="3" t="s">
        <v>8</v>
      </c>
      <c r="G93" s="2" t="s">
        <v>308</v>
      </c>
      <c r="H93" s="3">
        <v>24</v>
      </c>
      <c r="I93" s="3" t="s">
        <v>49</v>
      </c>
      <c r="J93" s="1" t="s">
        <v>158</v>
      </c>
    </row>
    <row r="94" spans="1:10" x14ac:dyDescent="0.25">
      <c r="A94" s="2" t="s">
        <v>290</v>
      </c>
      <c r="B94" s="3" t="s">
        <v>46</v>
      </c>
      <c r="C94" s="3" t="s">
        <v>10</v>
      </c>
      <c r="D94" s="3" t="s">
        <v>296</v>
      </c>
      <c r="E94" s="5" t="str">
        <f t="shared" si="1"/>
        <v>001 BLACK</v>
      </c>
      <c r="F94" s="3" t="s">
        <v>8</v>
      </c>
      <c r="G94" s="6">
        <v>7667</v>
      </c>
      <c r="H94" s="3">
        <v>145</v>
      </c>
      <c r="I94" s="3" t="s">
        <v>49</v>
      </c>
      <c r="J94" s="1" t="s">
        <v>264</v>
      </c>
    </row>
    <row r="95" spans="1:10" x14ac:dyDescent="0.25">
      <c r="A95" s="2" t="s">
        <v>290</v>
      </c>
      <c r="B95" s="3" t="s">
        <v>46</v>
      </c>
      <c r="C95" s="3" t="s">
        <v>47</v>
      </c>
      <c r="D95" s="3" t="s">
        <v>303</v>
      </c>
      <c r="E95" s="5" t="str">
        <f t="shared" si="1"/>
        <v>718 VANILLA CREAM</v>
      </c>
      <c r="F95" s="3" t="s">
        <v>8</v>
      </c>
      <c r="G95" s="2" t="s">
        <v>308</v>
      </c>
      <c r="H95" s="3">
        <v>24</v>
      </c>
      <c r="I95" s="3" t="s">
        <v>48</v>
      </c>
      <c r="J95" s="1" t="s">
        <v>157</v>
      </c>
    </row>
    <row r="96" spans="1:10" x14ac:dyDescent="0.25">
      <c r="A96" s="2" t="s">
        <v>290</v>
      </c>
      <c r="B96" s="3" t="s">
        <v>46</v>
      </c>
      <c r="C96" s="3" t="s">
        <v>47</v>
      </c>
      <c r="D96" s="3" t="s">
        <v>303</v>
      </c>
      <c r="E96" s="5" t="str">
        <f t="shared" si="1"/>
        <v>718 VANILLA CREAM</v>
      </c>
      <c r="F96" s="3" t="s">
        <v>8</v>
      </c>
      <c r="G96" s="2" t="s">
        <v>309</v>
      </c>
      <c r="H96" s="3">
        <v>38</v>
      </c>
      <c r="I96" s="3" t="s">
        <v>48</v>
      </c>
      <c r="J96" s="1" t="s">
        <v>187</v>
      </c>
    </row>
    <row r="97" spans="1:10" x14ac:dyDescent="0.25">
      <c r="A97" s="2" t="s">
        <v>290</v>
      </c>
      <c r="B97" s="3" t="s">
        <v>46</v>
      </c>
      <c r="C97" s="3" t="s">
        <v>47</v>
      </c>
      <c r="D97" s="3" t="s">
        <v>303</v>
      </c>
      <c r="E97" s="5" t="str">
        <f t="shared" si="1"/>
        <v>718 VANILLA CREAM</v>
      </c>
      <c r="F97" s="3" t="s">
        <v>8</v>
      </c>
      <c r="G97" s="6">
        <v>7667</v>
      </c>
      <c r="H97" s="3">
        <v>40</v>
      </c>
      <c r="I97" s="3" t="s">
        <v>48</v>
      </c>
      <c r="J97" s="1" t="s">
        <v>265</v>
      </c>
    </row>
    <row r="98" spans="1:10" x14ac:dyDescent="0.25">
      <c r="A98" s="2" t="s">
        <v>290</v>
      </c>
      <c r="B98" s="3" t="s">
        <v>46</v>
      </c>
      <c r="C98" s="3" t="s">
        <v>77</v>
      </c>
      <c r="D98" s="3" t="s">
        <v>306</v>
      </c>
      <c r="E98" s="5" t="str">
        <f t="shared" si="1"/>
        <v>A237 MOCHA</v>
      </c>
      <c r="F98" s="3" t="s">
        <v>8</v>
      </c>
      <c r="G98" s="6">
        <v>7667</v>
      </c>
      <c r="H98" s="3">
        <v>31</v>
      </c>
      <c r="I98" s="3" t="s">
        <v>129</v>
      </c>
      <c r="J98" s="1" t="s">
        <v>266</v>
      </c>
    </row>
    <row r="99" spans="1:10" x14ac:dyDescent="0.25">
      <c r="A99" s="2" t="s">
        <v>290</v>
      </c>
      <c r="B99" s="3" t="s">
        <v>75</v>
      </c>
      <c r="C99" s="3" t="s">
        <v>10</v>
      </c>
      <c r="D99" s="3" t="s">
        <v>296</v>
      </c>
      <c r="E99" s="5" t="str">
        <f t="shared" si="1"/>
        <v>001 BLACK</v>
      </c>
      <c r="F99" s="3" t="s">
        <v>8</v>
      </c>
      <c r="G99" s="6">
        <v>7677</v>
      </c>
      <c r="H99" s="3">
        <v>12</v>
      </c>
      <c r="I99" s="3" t="s">
        <v>93</v>
      </c>
      <c r="J99" s="1" t="s">
        <v>218</v>
      </c>
    </row>
    <row r="100" spans="1:10" x14ac:dyDescent="0.25">
      <c r="A100" s="2" t="s">
        <v>290</v>
      </c>
      <c r="B100" s="3" t="s">
        <v>75</v>
      </c>
      <c r="C100" s="3" t="s">
        <v>22</v>
      </c>
      <c r="D100" s="3" t="s">
        <v>297</v>
      </c>
      <c r="E100" s="5" t="str">
        <f t="shared" si="1"/>
        <v>2221 CHOCOLATE BROWN</v>
      </c>
      <c r="F100" s="3" t="s">
        <v>8</v>
      </c>
      <c r="G100" s="2" t="s">
        <v>310</v>
      </c>
      <c r="H100" s="3">
        <v>10</v>
      </c>
      <c r="I100" s="3" t="s">
        <v>76</v>
      </c>
      <c r="J100" s="1" t="s">
        <v>181</v>
      </c>
    </row>
    <row r="101" spans="1:10" x14ac:dyDescent="0.25">
      <c r="A101" s="2" t="s">
        <v>290</v>
      </c>
      <c r="B101" s="3" t="s">
        <v>75</v>
      </c>
      <c r="C101" s="3" t="s">
        <v>22</v>
      </c>
      <c r="D101" s="3" t="s">
        <v>297</v>
      </c>
      <c r="E101" s="5" t="str">
        <f t="shared" si="1"/>
        <v>2221 CHOCOLATE BROWN</v>
      </c>
      <c r="F101" s="3" t="s">
        <v>8</v>
      </c>
      <c r="G101" s="6">
        <v>7677</v>
      </c>
      <c r="H101" s="3">
        <v>93</v>
      </c>
      <c r="I101" s="3" t="s">
        <v>76</v>
      </c>
      <c r="J101" s="1" t="s">
        <v>219</v>
      </c>
    </row>
    <row r="102" spans="1:10" x14ac:dyDescent="0.25">
      <c r="A102" s="2" t="s">
        <v>290</v>
      </c>
      <c r="B102" s="3" t="s">
        <v>73</v>
      </c>
      <c r="C102" s="3" t="s">
        <v>10</v>
      </c>
      <c r="D102" s="3" t="s">
        <v>296</v>
      </c>
      <c r="E102" s="5" t="str">
        <f t="shared" si="1"/>
        <v>001 BLACK</v>
      </c>
      <c r="F102" s="3" t="s">
        <v>8</v>
      </c>
      <c r="G102" s="2" t="s">
        <v>311</v>
      </c>
      <c r="H102" s="3">
        <v>16</v>
      </c>
      <c r="I102" s="3" t="s">
        <v>74</v>
      </c>
      <c r="J102" s="1" t="s">
        <v>180</v>
      </c>
    </row>
    <row r="103" spans="1:10" x14ac:dyDescent="0.25">
      <c r="A103" s="2" t="s">
        <v>290</v>
      </c>
      <c r="B103" s="3" t="s">
        <v>73</v>
      </c>
      <c r="C103" s="3" t="s">
        <v>10</v>
      </c>
      <c r="D103" s="3" t="s">
        <v>296</v>
      </c>
      <c r="E103" s="5" t="str">
        <f t="shared" si="1"/>
        <v>001 BLACK</v>
      </c>
      <c r="F103" s="3" t="s">
        <v>8</v>
      </c>
      <c r="G103" s="6">
        <v>7679</v>
      </c>
      <c r="H103" s="3">
        <v>86</v>
      </c>
      <c r="I103" s="3" t="s">
        <v>74</v>
      </c>
      <c r="J103" s="1" t="s">
        <v>214</v>
      </c>
    </row>
    <row r="104" spans="1:10" x14ac:dyDescent="0.25">
      <c r="A104" s="2" t="s">
        <v>290</v>
      </c>
      <c r="B104" s="3" t="s">
        <v>73</v>
      </c>
      <c r="C104" s="3" t="s">
        <v>77</v>
      </c>
      <c r="D104" s="3" t="s">
        <v>306</v>
      </c>
      <c r="E104" s="5" t="str">
        <f t="shared" si="1"/>
        <v>A237 MOCHA</v>
      </c>
      <c r="F104" s="3" t="s">
        <v>8</v>
      </c>
      <c r="G104" s="6">
        <v>7679</v>
      </c>
      <c r="H104" s="3">
        <v>57</v>
      </c>
      <c r="I104" s="3" t="s">
        <v>89</v>
      </c>
      <c r="J104" s="1" t="s">
        <v>215</v>
      </c>
    </row>
    <row r="105" spans="1:10" x14ac:dyDescent="0.25">
      <c r="A105" s="2" t="s">
        <v>290</v>
      </c>
      <c r="B105" s="3" t="s">
        <v>71</v>
      </c>
      <c r="C105" s="3" t="s">
        <v>10</v>
      </c>
      <c r="D105" s="3" t="s">
        <v>296</v>
      </c>
      <c r="E105" s="5" t="str">
        <f t="shared" si="1"/>
        <v>001 BLACK</v>
      </c>
      <c r="F105" s="3" t="s">
        <v>8</v>
      </c>
      <c r="G105" s="2" t="s">
        <v>312</v>
      </c>
      <c r="H105" s="3">
        <v>15</v>
      </c>
      <c r="I105" s="3" t="s">
        <v>72</v>
      </c>
      <c r="J105" s="1" t="s">
        <v>179</v>
      </c>
    </row>
    <row r="106" spans="1:10" x14ac:dyDescent="0.25">
      <c r="A106" s="2" t="s">
        <v>290</v>
      </c>
      <c r="B106" s="3" t="s">
        <v>71</v>
      </c>
      <c r="C106" s="3" t="s">
        <v>10</v>
      </c>
      <c r="D106" s="3" t="s">
        <v>296</v>
      </c>
      <c r="E106" s="5" t="str">
        <f t="shared" si="1"/>
        <v>001 BLACK</v>
      </c>
      <c r="F106" s="3" t="s">
        <v>8</v>
      </c>
      <c r="G106" s="6">
        <v>7680</v>
      </c>
      <c r="H106" s="3">
        <v>30</v>
      </c>
      <c r="I106" s="3" t="s">
        <v>72</v>
      </c>
      <c r="J106" s="1" t="s">
        <v>213</v>
      </c>
    </row>
    <row r="107" spans="1:10" x14ac:dyDescent="0.25">
      <c r="A107" s="2" t="s">
        <v>289</v>
      </c>
      <c r="B107" s="3" t="s">
        <v>18</v>
      </c>
      <c r="C107" s="3" t="s">
        <v>10</v>
      </c>
      <c r="D107" s="3" t="s">
        <v>296</v>
      </c>
      <c r="E107" s="5" t="str">
        <f t="shared" si="1"/>
        <v>001 BLACK</v>
      </c>
      <c r="F107" s="3" t="s">
        <v>8</v>
      </c>
      <c r="G107" s="2" t="s">
        <v>319</v>
      </c>
      <c r="H107" s="3">
        <v>57</v>
      </c>
      <c r="I107" s="3" t="s">
        <v>19</v>
      </c>
      <c r="J107" s="1" t="s">
        <v>140</v>
      </c>
    </row>
    <row r="108" spans="1:10" x14ac:dyDescent="0.25">
      <c r="A108" s="2" t="s">
        <v>289</v>
      </c>
      <c r="B108" s="3" t="s">
        <v>18</v>
      </c>
      <c r="C108" s="3" t="s">
        <v>10</v>
      </c>
      <c r="D108" s="3" t="s">
        <v>296</v>
      </c>
      <c r="E108" s="5" t="str">
        <f t="shared" si="1"/>
        <v>001 BLACK</v>
      </c>
      <c r="F108" s="3" t="s">
        <v>8</v>
      </c>
      <c r="G108" s="2" t="s">
        <v>318</v>
      </c>
      <c r="H108" s="3">
        <v>24</v>
      </c>
      <c r="I108" s="3" t="s">
        <v>19</v>
      </c>
      <c r="J108" s="1" t="s">
        <v>178</v>
      </c>
    </row>
    <row r="109" spans="1:10" x14ac:dyDescent="0.25">
      <c r="A109" s="2" t="s">
        <v>289</v>
      </c>
      <c r="B109" s="3" t="s">
        <v>18</v>
      </c>
      <c r="C109" s="3" t="s">
        <v>10</v>
      </c>
      <c r="D109" s="3" t="s">
        <v>296</v>
      </c>
      <c r="E109" s="5" t="str">
        <f t="shared" si="1"/>
        <v>001 BLACK</v>
      </c>
      <c r="F109" s="3" t="s">
        <v>8</v>
      </c>
      <c r="G109" s="6">
        <v>7681</v>
      </c>
      <c r="H109" s="3">
        <v>160</v>
      </c>
      <c r="I109" s="3" t="s">
        <v>19</v>
      </c>
      <c r="J109" s="1" t="s">
        <v>212</v>
      </c>
    </row>
    <row r="110" spans="1:10" x14ac:dyDescent="0.25">
      <c r="A110" s="2" t="s">
        <v>289</v>
      </c>
      <c r="B110" s="3" t="s">
        <v>18</v>
      </c>
      <c r="C110" s="3" t="s">
        <v>7</v>
      </c>
      <c r="D110" s="3" t="s">
        <v>316</v>
      </c>
      <c r="E110" s="5" t="str">
        <f>_xlfn.CONCAT(C110," ",D110)</f>
        <v>A236 TRUFFLE</v>
      </c>
      <c r="F110" s="3" t="s">
        <v>8</v>
      </c>
      <c r="G110" s="2" t="s">
        <v>319</v>
      </c>
      <c r="H110" s="3">
        <v>38</v>
      </c>
      <c r="I110" s="3" t="s">
        <v>20</v>
      </c>
      <c r="J110" s="1" t="s">
        <v>141</v>
      </c>
    </row>
    <row r="111" spans="1:10" x14ac:dyDescent="0.25">
      <c r="A111" s="2" t="s">
        <v>289</v>
      </c>
      <c r="B111" s="3" t="s">
        <v>18</v>
      </c>
      <c r="C111" s="3" t="s">
        <v>7</v>
      </c>
      <c r="D111" s="3" t="s">
        <v>316</v>
      </c>
      <c r="E111" s="5" t="str">
        <f t="shared" ref="E111:E152" si="2">_xlfn.CONCAT(C111," ",D111)</f>
        <v>A236 TRUFFLE</v>
      </c>
      <c r="F111" s="3" t="s">
        <v>8</v>
      </c>
      <c r="G111" s="2" t="s">
        <v>318</v>
      </c>
      <c r="H111" s="3">
        <v>6</v>
      </c>
      <c r="I111" s="3" t="s">
        <v>20</v>
      </c>
      <c r="J111" s="1" t="s">
        <v>177</v>
      </c>
    </row>
    <row r="112" spans="1:10" x14ac:dyDescent="0.25">
      <c r="A112" s="2" t="s">
        <v>289</v>
      </c>
      <c r="B112" s="3" t="s">
        <v>18</v>
      </c>
      <c r="C112" s="3" t="s">
        <v>7</v>
      </c>
      <c r="D112" s="3" t="s">
        <v>316</v>
      </c>
      <c r="E112" s="5" t="str">
        <f t="shared" si="2"/>
        <v>A236 TRUFFLE</v>
      </c>
      <c r="F112" s="3" t="s">
        <v>8</v>
      </c>
      <c r="G112" s="6">
        <v>7681</v>
      </c>
      <c r="H112" s="3">
        <v>142</v>
      </c>
      <c r="I112" s="3" t="s">
        <v>20</v>
      </c>
      <c r="J112" s="1" t="s">
        <v>211</v>
      </c>
    </row>
    <row r="113" spans="1:10" x14ac:dyDescent="0.25">
      <c r="A113" s="2" t="s">
        <v>289</v>
      </c>
      <c r="B113" s="3" t="s">
        <v>85</v>
      </c>
      <c r="C113" s="3" t="s">
        <v>22</v>
      </c>
      <c r="D113" s="3" t="s">
        <v>297</v>
      </c>
      <c r="E113" s="5" t="str">
        <f t="shared" si="2"/>
        <v>2221 CHOCOLATE BROWN</v>
      </c>
      <c r="F113" s="3" t="s">
        <v>8</v>
      </c>
      <c r="G113" s="6">
        <v>7682</v>
      </c>
      <c r="H113" s="3">
        <v>18</v>
      </c>
      <c r="I113" s="3" t="s">
        <v>88</v>
      </c>
      <c r="J113" s="1" t="s">
        <v>210</v>
      </c>
    </row>
    <row r="114" spans="1:10" x14ac:dyDescent="0.25">
      <c r="A114" s="2" t="s">
        <v>289</v>
      </c>
      <c r="B114" s="3" t="s">
        <v>85</v>
      </c>
      <c r="C114" s="3" t="s">
        <v>86</v>
      </c>
      <c r="D114" s="3" t="s">
        <v>320</v>
      </c>
      <c r="E114" s="5" t="str">
        <f t="shared" si="2"/>
        <v>255 SAND</v>
      </c>
      <c r="F114" s="3" t="s">
        <v>8</v>
      </c>
      <c r="G114" s="6">
        <v>7682</v>
      </c>
      <c r="H114" s="3">
        <v>38</v>
      </c>
      <c r="I114" s="3" t="s">
        <v>87</v>
      </c>
      <c r="J114" s="1" t="s">
        <v>209</v>
      </c>
    </row>
    <row r="115" spans="1:10" x14ac:dyDescent="0.25">
      <c r="A115" s="2" t="s">
        <v>289</v>
      </c>
      <c r="B115" s="3" t="s">
        <v>15</v>
      </c>
      <c r="C115" s="3" t="s">
        <v>16</v>
      </c>
      <c r="D115" s="3" t="s">
        <v>321</v>
      </c>
      <c r="E115" s="5" t="str">
        <f t="shared" si="2"/>
        <v>A328 SAND/CHOCOLATE BROWN</v>
      </c>
      <c r="F115" s="3" t="s">
        <v>8</v>
      </c>
      <c r="G115" s="2" t="s">
        <v>323</v>
      </c>
      <c r="H115" s="3">
        <v>20</v>
      </c>
      <c r="I115" s="3" t="s">
        <v>17</v>
      </c>
      <c r="J115" s="1" t="s">
        <v>139</v>
      </c>
    </row>
    <row r="116" spans="1:10" x14ac:dyDescent="0.25">
      <c r="A116" s="2" t="s">
        <v>289</v>
      </c>
      <c r="B116" s="3" t="s">
        <v>15</v>
      </c>
      <c r="C116" s="3" t="s">
        <v>16</v>
      </c>
      <c r="D116" s="3" t="s">
        <v>321</v>
      </c>
      <c r="E116" s="5" t="str">
        <f t="shared" si="2"/>
        <v>A328 SAND/CHOCOLATE BROWN</v>
      </c>
      <c r="F116" s="3" t="s">
        <v>8</v>
      </c>
      <c r="G116" s="2" t="s">
        <v>322</v>
      </c>
      <c r="H116" s="3">
        <v>12</v>
      </c>
      <c r="I116" s="3" t="s">
        <v>17</v>
      </c>
      <c r="J116" s="1" t="s">
        <v>176</v>
      </c>
    </row>
    <row r="117" spans="1:10" x14ac:dyDescent="0.25">
      <c r="A117" s="2" t="s">
        <v>289</v>
      </c>
      <c r="B117" s="3" t="s">
        <v>15</v>
      </c>
      <c r="C117" s="3" t="s">
        <v>16</v>
      </c>
      <c r="D117" s="3" t="s">
        <v>321</v>
      </c>
      <c r="E117" s="5" t="str">
        <f t="shared" si="2"/>
        <v>A328 SAND/CHOCOLATE BROWN</v>
      </c>
      <c r="F117" s="3" t="s">
        <v>8</v>
      </c>
      <c r="G117" s="6">
        <v>7683</v>
      </c>
      <c r="H117" s="3">
        <v>64</v>
      </c>
      <c r="I117" s="3" t="s">
        <v>17</v>
      </c>
      <c r="J117" s="1" t="s">
        <v>208</v>
      </c>
    </row>
    <row r="118" spans="1:10" x14ac:dyDescent="0.25">
      <c r="A118" s="2" t="s">
        <v>289</v>
      </c>
      <c r="B118" s="3" t="s">
        <v>83</v>
      </c>
      <c r="C118" s="3" t="s">
        <v>22</v>
      </c>
      <c r="D118" s="3" t="s">
        <v>297</v>
      </c>
      <c r="E118" s="5" t="str">
        <f t="shared" si="2"/>
        <v>2221 CHOCOLATE BROWN</v>
      </c>
      <c r="F118" s="3" t="s">
        <v>8</v>
      </c>
      <c r="G118" s="6">
        <v>7684</v>
      </c>
      <c r="H118" s="3">
        <v>53</v>
      </c>
      <c r="I118" s="3" t="s">
        <v>84</v>
      </c>
      <c r="J118" s="1" t="s">
        <v>207</v>
      </c>
    </row>
    <row r="119" spans="1:10" x14ac:dyDescent="0.25">
      <c r="A119" s="2" t="s">
        <v>289</v>
      </c>
      <c r="B119" s="3" t="s">
        <v>63</v>
      </c>
      <c r="C119" s="3" t="s">
        <v>10</v>
      </c>
      <c r="D119" s="3" t="s">
        <v>296</v>
      </c>
      <c r="E119" s="5" t="str">
        <f t="shared" si="2"/>
        <v>001 BLACK</v>
      </c>
      <c r="F119" s="3" t="s">
        <v>8</v>
      </c>
      <c r="G119" s="2" t="s">
        <v>314</v>
      </c>
      <c r="H119" s="3">
        <v>200</v>
      </c>
      <c r="I119" s="3" t="s">
        <v>82</v>
      </c>
      <c r="J119" s="1" t="s">
        <v>198</v>
      </c>
    </row>
    <row r="120" spans="1:10" x14ac:dyDescent="0.25">
      <c r="A120" s="2" t="s">
        <v>289</v>
      </c>
      <c r="B120" s="3" t="s">
        <v>63</v>
      </c>
      <c r="C120" s="3" t="s">
        <v>10</v>
      </c>
      <c r="D120" s="3" t="s">
        <v>296</v>
      </c>
      <c r="E120" s="5" t="str">
        <f t="shared" si="2"/>
        <v>001 BLACK</v>
      </c>
      <c r="F120" s="3" t="s">
        <v>8</v>
      </c>
      <c r="G120" s="6">
        <v>7663</v>
      </c>
      <c r="H120" s="3">
        <v>266</v>
      </c>
      <c r="I120" s="3" t="s">
        <v>82</v>
      </c>
      <c r="J120" s="1" t="s">
        <v>285</v>
      </c>
    </row>
    <row r="121" spans="1:10" x14ac:dyDescent="0.25">
      <c r="A121" s="2" t="s">
        <v>289</v>
      </c>
      <c r="B121" s="3" t="s">
        <v>63</v>
      </c>
      <c r="C121" s="3" t="s">
        <v>64</v>
      </c>
      <c r="D121" s="3" t="s">
        <v>313</v>
      </c>
      <c r="E121" s="5" t="str">
        <f t="shared" si="2"/>
        <v>221 DARK COFFEE</v>
      </c>
      <c r="F121" s="3" t="s">
        <v>8</v>
      </c>
      <c r="G121" s="2" t="s">
        <v>315</v>
      </c>
      <c r="H121" s="3">
        <v>68</v>
      </c>
      <c r="I121" s="3" t="s">
        <v>65</v>
      </c>
      <c r="J121" s="1" t="s">
        <v>169</v>
      </c>
    </row>
    <row r="122" spans="1:10" x14ac:dyDescent="0.25">
      <c r="A122" s="2" t="s">
        <v>289</v>
      </c>
      <c r="B122" s="3" t="s">
        <v>63</v>
      </c>
      <c r="C122" s="3" t="s">
        <v>64</v>
      </c>
      <c r="D122" s="3" t="s">
        <v>313</v>
      </c>
      <c r="E122" s="5" t="str">
        <f t="shared" si="2"/>
        <v>221 DARK COFFEE</v>
      </c>
      <c r="F122" s="3" t="s">
        <v>8</v>
      </c>
      <c r="G122" s="2" t="s">
        <v>314</v>
      </c>
      <c r="H122" s="3">
        <v>130</v>
      </c>
      <c r="I122" s="3" t="s">
        <v>65</v>
      </c>
      <c r="J122" s="1" t="s">
        <v>199</v>
      </c>
    </row>
    <row r="123" spans="1:10" x14ac:dyDescent="0.25">
      <c r="A123" s="2" t="s">
        <v>289</v>
      </c>
      <c r="B123" s="3" t="s">
        <v>63</v>
      </c>
      <c r="C123" s="3" t="s">
        <v>64</v>
      </c>
      <c r="D123" s="3" t="s">
        <v>313</v>
      </c>
      <c r="E123" s="5" t="str">
        <f t="shared" si="2"/>
        <v>221 DARK COFFEE</v>
      </c>
      <c r="F123" s="3" t="s">
        <v>8</v>
      </c>
      <c r="G123" s="6">
        <v>7663</v>
      </c>
      <c r="H123" s="3">
        <v>406</v>
      </c>
      <c r="I123" s="3" t="s">
        <v>65</v>
      </c>
      <c r="J123" s="1" t="s">
        <v>284</v>
      </c>
    </row>
    <row r="124" spans="1:10" x14ac:dyDescent="0.25">
      <c r="A124" s="2" t="s">
        <v>289</v>
      </c>
      <c r="B124" s="3" t="s">
        <v>43</v>
      </c>
      <c r="C124" s="3" t="s">
        <v>10</v>
      </c>
      <c r="D124" s="3" t="s">
        <v>296</v>
      </c>
      <c r="E124" s="5" t="str">
        <f t="shared" si="2"/>
        <v>001 BLACK</v>
      </c>
      <c r="F124" s="3" t="s">
        <v>8</v>
      </c>
      <c r="G124" s="2" t="s">
        <v>317</v>
      </c>
      <c r="H124" s="3">
        <v>20</v>
      </c>
      <c r="I124" s="3" t="s">
        <v>44</v>
      </c>
      <c r="J124" s="1" t="s">
        <v>155</v>
      </c>
    </row>
    <row r="125" spans="1:10" x14ac:dyDescent="0.25">
      <c r="A125" s="2" t="s">
        <v>289</v>
      </c>
      <c r="B125" s="3" t="s">
        <v>43</v>
      </c>
      <c r="C125" s="3" t="s">
        <v>10</v>
      </c>
      <c r="D125" s="3" t="s">
        <v>296</v>
      </c>
      <c r="E125" s="5" t="str">
        <f t="shared" si="2"/>
        <v>001 BLACK</v>
      </c>
      <c r="F125" s="3" t="s">
        <v>8</v>
      </c>
      <c r="G125" s="6">
        <v>7668</v>
      </c>
      <c r="H125" s="3">
        <v>97</v>
      </c>
      <c r="I125" s="3" t="s">
        <v>44</v>
      </c>
      <c r="J125" s="1" t="s">
        <v>262</v>
      </c>
    </row>
    <row r="126" spans="1:10" x14ac:dyDescent="0.25">
      <c r="A126" s="2" t="s">
        <v>289</v>
      </c>
      <c r="B126" s="3" t="s">
        <v>43</v>
      </c>
      <c r="C126" s="3" t="s">
        <v>7</v>
      </c>
      <c r="D126" s="3" t="s">
        <v>316</v>
      </c>
      <c r="E126" s="5" t="str">
        <f t="shared" si="2"/>
        <v>A236 TRUFFLE</v>
      </c>
      <c r="F126" s="3" t="s">
        <v>8</v>
      </c>
      <c r="G126" s="2" t="s">
        <v>317</v>
      </c>
      <c r="H126" s="3">
        <v>24</v>
      </c>
      <c r="I126" s="3" t="s">
        <v>45</v>
      </c>
      <c r="J126" s="1" t="s">
        <v>156</v>
      </c>
    </row>
    <row r="127" spans="1:10" x14ac:dyDescent="0.25">
      <c r="A127" s="2" t="s">
        <v>289</v>
      </c>
      <c r="B127" s="3" t="s">
        <v>43</v>
      </c>
      <c r="C127" s="3" t="s">
        <v>7</v>
      </c>
      <c r="D127" s="3" t="s">
        <v>316</v>
      </c>
      <c r="E127" s="5" t="str">
        <f t="shared" si="2"/>
        <v>A236 TRUFFLE</v>
      </c>
      <c r="F127" s="3" t="s">
        <v>8</v>
      </c>
      <c r="G127" s="6">
        <v>7668</v>
      </c>
      <c r="H127" s="3">
        <v>94</v>
      </c>
      <c r="I127" s="3" t="s">
        <v>45</v>
      </c>
      <c r="J127" s="1" t="s">
        <v>263</v>
      </c>
    </row>
    <row r="128" spans="1:10" x14ac:dyDescent="0.25">
      <c r="A128" s="2" t="s">
        <v>289</v>
      </c>
      <c r="B128" s="3" t="s">
        <v>90</v>
      </c>
      <c r="C128" s="3" t="s">
        <v>22</v>
      </c>
      <c r="D128" s="3" t="s">
        <v>297</v>
      </c>
      <c r="E128" s="5" t="str">
        <f t="shared" si="2"/>
        <v>2221 CHOCOLATE BROWN</v>
      </c>
      <c r="F128" s="3" t="s">
        <v>8</v>
      </c>
      <c r="G128" s="6">
        <v>7678</v>
      </c>
      <c r="H128" s="3">
        <v>40</v>
      </c>
      <c r="I128" s="3" t="s">
        <v>91</v>
      </c>
      <c r="J128" s="1" t="s">
        <v>216</v>
      </c>
    </row>
    <row r="129" spans="1:10" x14ac:dyDescent="0.25">
      <c r="A129" s="2" t="s">
        <v>289</v>
      </c>
      <c r="B129" s="3" t="s">
        <v>90</v>
      </c>
      <c r="C129" s="3" t="s">
        <v>86</v>
      </c>
      <c r="D129" s="3" t="s">
        <v>320</v>
      </c>
      <c r="E129" s="5" t="str">
        <f t="shared" si="2"/>
        <v>255 SAND</v>
      </c>
      <c r="F129" s="3" t="s">
        <v>8</v>
      </c>
      <c r="G129" s="6">
        <v>7678</v>
      </c>
      <c r="H129" s="3">
        <v>9</v>
      </c>
      <c r="I129" s="3" t="s">
        <v>92</v>
      </c>
      <c r="J129" s="1" t="s">
        <v>217</v>
      </c>
    </row>
    <row r="130" spans="1:10" x14ac:dyDescent="0.25">
      <c r="A130" s="2" t="s">
        <v>289</v>
      </c>
      <c r="B130" s="3" t="s">
        <v>79</v>
      </c>
      <c r="C130" s="3" t="s">
        <v>10</v>
      </c>
      <c r="D130" s="3" t="s">
        <v>296</v>
      </c>
      <c r="E130" s="5" t="str">
        <f t="shared" si="2"/>
        <v>001 BLACK</v>
      </c>
      <c r="F130" s="3" t="s">
        <v>8</v>
      </c>
      <c r="G130" s="2" t="s">
        <v>324</v>
      </c>
      <c r="H130" s="3">
        <v>250</v>
      </c>
      <c r="I130" s="3" t="s">
        <v>80</v>
      </c>
      <c r="J130" s="1" t="s">
        <v>196</v>
      </c>
    </row>
    <row r="131" spans="1:10" x14ac:dyDescent="0.25">
      <c r="A131" s="2" t="s">
        <v>289</v>
      </c>
      <c r="B131" s="3" t="s">
        <v>79</v>
      </c>
      <c r="C131" s="3" t="s">
        <v>10</v>
      </c>
      <c r="D131" s="3" t="s">
        <v>296</v>
      </c>
      <c r="E131" s="5" t="str">
        <f t="shared" si="2"/>
        <v>001 BLACK</v>
      </c>
      <c r="F131" s="3" t="s">
        <v>8</v>
      </c>
      <c r="G131" s="6">
        <v>7664</v>
      </c>
      <c r="H131" s="3">
        <v>518</v>
      </c>
      <c r="I131" s="3" t="s">
        <v>80</v>
      </c>
      <c r="J131" s="1" t="s">
        <v>283</v>
      </c>
    </row>
    <row r="132" spans="1:10" x14ac:dyDescent="0.25">
      <c r="A132" s="2" t="s">
        <v>289</v>
      </c>
      <c r="B132" s="3" t="s">
        <v>79</v>
      </c>
      <c r="C132" s="3" t="s">
        <v>64</v>
      </c>
      <c r="D132" s="3" t="s">
        <v>313</v>
      </c>
      <c r="E132" s="5" t="str">
        <f t="shared" si="2"/>
        <v>221 DARK COFFEE</v>
      </c>
      <c r="F132" s="3" t="s">
        <v>8</v>
      </c>
      <c r="G132" s="2" t="s">
        <v>324</v>
      </c>
      <c r="H132" s="3">
        <v>80</v>
      </c>
      <c r="I132" s="3" t="s">
        <v>81</v>
      </c>
      <c r="J132" s="1" t="s">
        <v>197</v>
      </c>
    </row>
    <row r="133" spans="1:10" x14ac:dyDescent="0.25">
      <c r="A133" s="2" t="s">
        <v>289</v>
      </c>
      <c r="B133" s="3" t="s">
        <v>79</v>
      </c>
      <c r="C133" s="3" t="s">
        <v>64</v>
      </c>
      <c r="D133" s="3" t="s">
        <v>313</v>
      </c>
      <c r="E133" s="5" t="str">
        <f t="shared" si="2"/>
        <v>221 DARK COFFEE</v>
      </c>
      <c r="F133" s="3" t="s">
        <v>8</v>
      </c>
      <c r="G133" s="6">
        <v>7664</v>
      </c>
      <c r="H133" s="3">
        <v>238</v>
      </c>
      <c r="I133" s="3" t="s">
        <v>81</v>
      </c>
      <c r="J133" s="1" t="s">
        <v>282</v>
      </c>
    </row>
    <row r="134" spans="1:10" x14ac:dyDescent="0.25">
      <c r="A134" s="2" t="s">
        <v>289</v>
      </c>
      <c r="B134" s="3" t="s">
        <v>126</v>
      </c>
      <c r="C134" s="3" t="s">
        <v>10</v>
      </c>
      <c r="D134" s="3" t="s">
        <v>296</v>
      </c>
      <c r="E134" s="5" t="str">
        <f t="shared" si="2"/>
        <v>001 BLACK</v>
      </c>
      <c r="F134" s="3" t="s">
        <v>8</v>
      </c>
      <c r="G134" s="6">
        <v>7669</v>
      </c>
      <c r="H134" s="3">
        <v>149</v>
      </c>
      <c r="I134" s="3" t="s">
        <v>127</v>
      </c>
      <c r="J134" s="1" t="s">
        <v>260</v>
      </c>
    </row>
    <row r="135" spans="1:10" x14ac:dyDescent="0.25">
      <c r="A135" s="2" t="s">
        <v>289</v>
      </c>
      <c r="B135" s="3" t="s">
        <v>126</v>
      </c>
      <c r="C135" s="3" t="s">
        <v>7</v>
      </c>
      <c r="D135" s="3" t="s">
        <v>316</v>
      </c>
      <c r="E135" s="5" t="str">
        <f t="shared" si="2"/>
        <v>A236 TRUFFLE</v>
      </c>
      <c r="F135" s="3" t="s">
        <v>8</v>
      </c>
      <c r="G135" s="6">
        <v>7669</v>
      </c>
      <c r="H135" s="3">
        <v>29</v>
      </c>
      <c r="I135" s="3" t="s">
        <v>128</v>
      </c>
      <c r="J135" s="1" t="s">
        <v>261</v>
      </c>
    </row>
    <row r="136" spans="1:10" x14ac:dyDescent="0.25">
      <c r="A136" s="2" t="s">
        <v>289</v>
      </c>
      <c r="B136" s="3" t="s">
        <v>66</v>
      </c>
      <c r="C136" s="3" t="s">
        <v>10</v>
      </c>
      <c r="D136" s="3" t="s">
        <v>296</v>
      </c>
      <c r="E136" s="5" t="str">
        <f t="shared" si="2"/>
        <v>001 BLACK</v>
      </c>
      <c r="F136" s="3" t="s">
        <v>8</v>
      </c>
      <c r="G136" s="2" t="s">
        <v>326</v>
      </c>
      <c r="H136" s="3">
        <v>100</v>
      </c>
      <c r="I136" s="3" t="s">
        <v>68</v>
      </c>
      <c r="J136" s="1" t="s">
        <v>174</v>
      </c>
    </row>
    <row r="137" spans="1:10" x14ac:dyDescent="0.25">
      <c r="A137" s="2" t="s">
        <v>289</v>
      </c>
      <c r="B137" s="3" t="s">
        <v>66</v>
      </c>
      <c r="C137" s="3" t="s">
        <v>10</v>
      </c>
      <c r="D137" s="3" t="s">
        <v>296</v>
      </c>
      <c r="E137" s="5" t="str">
        <f t="shared" si="2"/>
        <v>001 BLACK</v>
      </c>
      <c r="F137" s="3" t="s">
        <v>8</v>
      </c>
      <c r="G137" s="6">
        <v>7685</v>
      </c>
      <c r="H137" s="3">
        <v>1895</v>
      </c>
      <c r="I137" s="3" t="s">
        <v>68</v>
      </c>
      <c r="J137" s="1" t="s">
        <v>206</v>
      </c>
    </row>
    <row r="138" spans="1:10" x14ac:dyDescent="0.25">
      <c r="A138" s="2" t="s">
        <v>289</v>
      </c>
      <c r="B138" s="3" t="s">
        <v>66</v>
      </c>
      <c r="C138" s="3" t="s">
        <v>69</v>
      </c>
      <c r="D138" s="3" t="s">
        <v>325</v>
      </c>
      <c r="E138" s="5" t="str">
        <f t="shared" si="2"/>
        <v>A184 MASTIC BEIGE</v>
      </c>
      <c r="F138" s="3" t="s">
        <v>8</v>
      </c>
      <c r="G138" s="2" t="s">
        <v>326</v>
      </c>
      <c r="H138" s="3">
        <v>60</v>
      </c>
      <c r="I138" s="3" t="s">
        <v>70</v>
      </c>
      <c r="J138" s="1" t="s">
        <v>175</v>
      </c>
    </row>
    <row r="139" spans="1:10" x14ac:dyDescent="0.25">
      <c r="A139" s="2" t="s">
        <v>289</v>
      </c>
      <c r="B139" s="3" t="s">
        <v>66</v>
      </c>
      <c r="C139" s="3" t="s">
        <v>69</v>
      </c>
      <c r="D139" s="3" t="s">
        <v>325</v>
      </c>
      <c r="E139" s="5" t="str">
        <f t="shared" si="2"/>
        <v>A184 MASTIC BEIGE</v>
      </c>
      <c r="F139" s="3" t="s">
        <v>8</v>
      </c>
      <c r="G139" s="6">
        <v>7685</v>
      </c>
      <c r="H139" s="3">
        <v>321</v>
      </c>
      <c r="I139" s="3" t="s">
        <v>70</v>
      </c>
      <c r="J139" s="1" t="s">
        <v>204</v>
      </c>
    </row>
    <row r="140" spans="1:10" x14ac:dyDescent="0.25">
      <c r="A140" s="2" t="s">
        <v>289</v>
      </c>
      <c r="B140" s="3" t="s">
        <v>66</v>
      </c>
      <c r="C140" s="3" t="s">
        <v>7</v>
      </c>
      <c r="D140" s="3" t="s">
        <v>316</v>
      </c>
      <c r="E140" s="5" t="str">
        <f t="shared" si="2"/>
        <v>A236 TRUFFLE</v>
      </c>
      <c r="F140" s="3" t="s">
        <v>8</v>
      </c>
      <c r="G140" s="2" t="s">
        <v>326</v>
      </c>
      <c r="H140" s="3">
        <v>40</v>
      </c>
      <c r="I140" s="3" t="s">
        <v>67</v>
      </c>
      <c r="J140" s="1" t="s">
        <v>173</v>
      </c>
    </row>
    <row r="141" spans="1:10" x14ac:dyDescent="0.25">
      <c r="A141" s="2" t="s">
        <v>289</v>
      </c>
      <c r="B141" s="3" t="s">
        <v>66</v>
      </c>
      <c r="C141" s="3" t="s">
        <v>7</v>
      </c>
      <c r="D141" s="3" t="s">
        <v>316</v>
      </c>
      <c r="E141" s="5" t="str">
        <f t="shared" si="2"/>
        <v>A236 TRUFFLE</v>
      </c>
      <c r="F141" s="3" t="s">
        <v>8</v>
      </c>
      <c r="G141" s="6">
        <v>7685</v>
      </c>
      <c r="H141" s="3">
        <v>769</v>
      </c>
      <c r="I141" s="3" t="s">
        <v>67</v>
      </c>
      <c r="J141" s="1" t="s">
        <v>205</v>
      </c>
    </row>
    <row r="142" spans="1:10" x14ac:dyDescent="0.25">
      <c r="A142" s="2" t="s">
        <v>289</v>
      </c>
      <c r="B142" s="3" t="s">
        <v>12</v>
      </c>
      <c r="C142" s="3" t="s">
        <v>10</v>
      </c>
      <c r="D142" s="3" t="s">
        <v>296</v>
      </c>
      <c r="E142" s="5" t="str">
        <f t="shared" si="2"/>
        <v>001 BLACK</v>
      </c>
      <c r="F142" s="3" t="s">
        <v>8</v>
      </c>
      <c r="G142" s="2" t="s">
        <v>328</v>
      </c>
      <c r="H142" s="3">
        <v>55</v>
      </c>
      <c r="I142" s="3" t="s">
        <v>13</v>
      </c>
      <c r="J142" s="1" t="s">
        <v>137</v>
      </c>
    </row>
    <row r="143" spans="1:10" x14ac:dyDescent="0.25">
      <c r="A143" s="2" t="s">
        <v>289</v>
      </c>
      <c r="B143" s="3" t="s">
        <v>12</v>
      </c>
      <c r="C143" s="3" t="s">
        <v>10</v>
      </c>
      <c r="D143" s="3" t="s">
        <v>296</v>
      </c>
      <c r="E143" s="5" t="str">
        <f t="shared" si="2"/>
        <v>001 BLACK</v>
      </c>
      <c r="F143" s="3" t="s">
        <v>8</v>
      </c>
      <c r="G143" s="2" t="s">
        <v>327</v>
      </c>
      <c r="H143" s="3">
        <v>20</v>
      </c>
      <c r="I143" s="3" t="s">
        <v>13</v>
      </c>
      <c r="J143" s="1" t="s">
        <v>172</v>
      </c>
    </row>
    <row r="144" spans="1:10" x14ac:dyDescent="0.25">
      <c r="A144" s="2" t="s">
        <v>289</v>
      </c>
      <c r="B144" s="3" t="s">
        <v>12</v>
      </c>
      <c r="C144" s="3" t="s">
        <v>10</v>
      </c>
      <c r="D144" s="3" t="s">
        <v>296</v>
      </c>
      <c r="E144" s="5" t="str">
        <f t="shared" si="2"/>
        <v>001 BLACK</v>
      </c>
      <c r="F144" s="3" t="s">
        <v>8</v>
      </c>
      <c r="G144" s="6">
        <v>7686</v>
      </c>
      <c r="H144" s="3">
        <v>65</v>
      </c>
      <c r="I144" s="3" t="s">
        <v>13</v>
      </c>
      <c r="J144" s="1" t="s">
        <v>203</v>
      </c>
    </row>
    <row r="145" spans="1:10" x14ac:dyDescent="0.25">
      <c r="A145" s="2" t="s">
        <v>289</v>
      </c>
      <c r="B145" s="3" t="s">
        <v>12</v>
      </c>
      <c r="C145" s="3" t="s">
        <v>7</v>
      </c>
      <c r="D145" s="3" t="s">
        <v>316</v>
      </c>
      <c r="E145" s="5" t="str">
        <f t="shared" si="2"/>
        <v>A236 TRUFFLE</v>
      </c>
      <c r="F145" s="3" t="s">
        <v>8</v>
      </c>
      <c r="G145" s="2" t="s">
        <v>328</v>
      </c>
      <c r="H145" s="3">
        <v>34</v>
      </c>
      <c r="I145" s="3" t="s">
        <v>14</v>
      </c>
      <c r="J145" s="1" t="s">
        <v>138</v>
      </c>
    </row>
    <row r="146" spans="1:10" x14ac:dyDescent="0.25">
      <c r="A146" s="2" t="s">
        <v>289</v>
      </c>
      <c r="B146" s="3" t="s">
        <v>12</v>
      </c>
      <c r="C146" s="3" t="s">
        <v>7</v>
      </c>
      <c r="D146" s="3" t="s">
        <v>316</v>
      </c>
      <c r="E146" s="5" t="str">
        <f t="shared" si="2"/>
        <v>A236 TRUFFLE</v>
      </c>
      <c r="F146" s="3" t="s">
        <v>8</v>
      </c>
      <c r="G146" s="2" t="s">
        <v>327</v>
      </c>
      <c r="H146" s="3">
        <v>20</v>
      </c>
      <c r="I146" s="3" t="s">
        <v>14</v>
      </c>
      <c r="J146" s="1" t="s">
        <v>171</v>
      </c>
    </row>
    <row r="147" spans="1:10" x14ac:dyDescent="0.25">
      <c r="A147" s="2" t="s">
        <v>289</v>
      </c>
      <c r="B147" s="3" t="s">
        <v>12</v>
      </c>
      <c r="C147" s="3" t="s">
        <v>7</v>
      </c>
      <c r="D147" s="3" t="s">
        <v>316</v>
      </c>
      <c r="E147" s="5" t="str">
        <f t="shared" si="2"/>
        <v>A236 TRUFFLE</v>
      </c>
      <c r="F147" s="3" t="s">
        <v>8</v>
      </c>
      <c r="G147" s="6">
        <v>7686</v>
      </c>
      <c r="H147" s="3">
        <v>17</v>
      </c>
      <c r="I147" s="3" t="s">
        <v>14</v>
      </c>
      <c r="J147" s="1" t="s">
        <v>202</v>
      </c>
    </row>
    <row r="148" spans="1:10" x14ac:dyDescent="0.25">
      <c r="A148" s="2" t="s">
        <v>289</v>
      </c>
      <c r="B148" s="3" t="s">
        <v>6</v>
      </c>
      <c r="C148" s="3" t="s">
        <v>10</v>
      </c>
      <c r="D148" s="3" t="s">
        <v>296</v>
      </c>
      <c r="E148" s="5" t="str">
        <f t="shared" si="2"/>
        <v>001 BLACK</v>
      </c>
      <c r="F148" s="3" t="s">
        <v>8</v>
      </c>
      <c r="G148" s="2" t="s">
        <v>330</v>
      </c>
      <c r="H148" s="3">
        <v>29</v>
      </c>
      <c r="I148" s="3" t="s">
        <v>11</v>
      </c>
      <c r="J148" s="1" t="s">
        <v>136</v>
      </c>
    </row>
    <row r="149" spans="1:10" x14ac:dyDescent="0.25">
      <c r="A149" s="2" t="s">
        <v>289</v>
      </c>
      <c r="B149" s="3" t="s">
        <v>6</v>
      </c>
      <c r="C149" s="3" t="s">
        <v>10</v>
      </c>
      <c r="D149" s="3" t="s">
        <v>296</v>
      </c>
      <c r="E149" s="5" t="str">
        <f t="shared" si="2"/>
        <v>001 BLACK</v>
      </c>
      <c r="F149" s="3" t="s">
        <v>8</v>
      </c>
      <c r="G149" s="2" t="s">
        <v>329</v>
      </c>
      <c r="H149" s="3">
        <v>6</v>
      </c>
      <c r="I149" s="3" t="s">
        <v>11</v>
      </c>
      <c r="J149" s="1" t="s">
        <v>170</v>
      </c>
    </row>
    <row r="150" spans="1:10" x14ac:dyDescent="0.25">
      <c r="A150" s="2" t="s">
        <v>289</v>
      </c>
      <c r="B150" s="3" t="s">
        <v>6</v>
      </c>
      <c r="C150" s="3" t="s">
        <v>10</v>
      </c>
      <c r="D150" s="3" t="s">
        <v>296</v>
      </c>
      <c r="E150" s="5" t="str">
        <f t="shared" si="2"/>
        <v>001 BLACK</v>
      </c>
      <c r="F150" s="3" t="s">
        <v>8</v>
      </c>
      <c r="G150" s="6">
        <v>7687</v>
      </c>
      <c r="H150" s="3">
        <v>82</v>
      </c>
      <c r="I150" s="3" t="s">
        <v>11</v>
      </c>
      <c r="J150" s="1" t="s">
        <v>201</v>
      </c>
    </row>
    <row r="151" spans="1:10" x14ac:dyDescent="0.25">
      <c r="A151" s="2" t="s">
        <v>289</v>
      </c>
      <c r="B151" s="3" t="s">
        <v>6</v>
      </c>
      <c r="C151" s="3" t="s">
        <v>7</v>
      </c>
      <c r="D151" s="3" t="s">
        <v>316</v>
      </c>
      <c r="E151" s="5" t="str">
        <f t="shared" si="2"/>
        <v>A236 TRUFFLE</v>
      </c>
      <c r="F151" s="3" t="s">
        <v>8</v>
      </c>
      <c r="G151" s="2" t="s">
        <v>330</v>
      </c>
      <c r="H151" s="3">
        <v>24</v>
      </c>
      <c r="I151" s="3" t="s">
        <v>9</v>
      </c>
      <c r="J151" s="1" t="s">
        <v>135</v>
      </c>
    </row>
    <row r="152" spans="1:10" x14ac:dyDescent="0.25">
      <c r="A152" s="2" t="s">
        <v>289</v>
      </c>
      <c r="B152" s="3" t="s">
        <v>6</v>
      </c>
      <c r="C152" s="3" t="s">
        <v>7</v>
      </c>
      <c r="D152" s="3" t="s">
        <v>316</v>
      </c>
      <c r="E152" s="5" t="str">
        <f t="shared" si="2"/>
        <v>A236 TRUFFLE</v>
      </c>
      <c r="F152" s="3" t="s">
        <v>8</v>
      </c>
      <c r="G152" s="6">
        <v>7687</v>
      </c>
      <c r="H152" s="3">
        <v>15</v>
      </c>
      <c r="I152" s="3" t="s">
        <v>9</v>
      </c>
      <c r="J152" s="1" t="s">
        <v>200</v>
      </c>
    </row>
  </sheetData>
  <autoFilter ref="A1:J152" xr:uid="{30906563-F008-49EB-9A81-3C9DD1FA7FB7}"/>
  <pageMargins left="0.7" right="0.7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BOLSITAS ANTIHUMEDAD</vt:lpstr>
      <vt:lpstr>EAN H26</vt:lpstr>
      <vt:lpstr>UBL209.AL0222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LASSEGUETTE</dc:creator>
  <cp:lastModifiedBy>Carme Fabrega</cp:lastModifiedBy>
  <cp:lastPrinted>2026-04-23T09:30:04Z</cp:lastPrinted>
  <dcterms:created xsi:type="dcterms:W3CDTF">2026-03-02T15:28:15Z</dcterms:created>
  <dcterms:modified xsi:type="dcterms:W3CDTF">2026-07-20T11:40:40Z</dcterms:modified>
</cp:coreProperties>
</file>