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T:\documentos\CLIENTES\2 - APC\- 26 FALL\PRODUCCIÓN\"/>
    </mc:Choice>
  </mc:AlternateContent>
  <xr:revisionPtr revIDLastSave="0" documentId="13_ncr:1_{18BBEDCD-46AC-4F91-926F-C5776C5AC8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CT" sheetId="2" r:id="rId1"/>
    <sheet name="Prix" sheetId="3" r:id="rId2"/>
    <sheet name="Sheet1" sheetId="1" r:id="rId3"/>
    <sheet name="Sheet2" sheetId="4" r:id="rId4"/>
  </sheets>
  <definedNames>
    <definedName name="_xlnm._FilterDatabase" localSheetId="3" hidden="1">Sheet2!$A$1:$G$34</definedName>
  </definedNames>
  <calcPr calcId="191029"/>
  <pivotCaches>
    <pivotCache cacheId="2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3" i="4" l="1"/>
  <c r="G34" i="4" s="1"/>
  <c r="N3" i="1" l="1"/>
  <c r="I3" i="1" s="1"/>
  <c r="N4" i="1"/>
  <c r="I4" i="1" s="1"/>
  <c r="N5" i="1"/>
  <c r="I5" i="1" s="1"/>
  <c r="N6" i="1"/>
  <c r="I6" i="1" s="1"/>
  <c r="N7" i="1"/>
  <c r="I7" i="1" s="1"/>
  <c r="N8" i="1"/>
  <c r="I8" i="1" s="1"/>
  <c r="N9" i="1"/>
  <c r="I9" i="1" s="1"/>
  <c r="N10" i="1"/>
  <c r="I10" i="1" s="1"/>
  <c r="N11" i="1"/>
  <c r="I11" i="1" s="1"/>
  <c r="N12" i="1"/>
  <c r="I12" i="1" s="1"/>
  <c r="N13" i="1"/>
  <c r="I13" i="1" s="1"/>
  <c r="N14" i="1"/>
  <c r="I14" i="1" s="1"/>
  <c r="N15" i="1"/>
  <c r="I15" i="1" s="1"/>
  <c r="N16" i="1"/>
  <c r="I16" i="1" s="1"/>
  <c r="N17" i="1"/>
  <c r="I17" i="1" s="1"/>
  <c r="N18" i="1"/>
  <c r="I18" i="1" s="1"/>
  <c r="N19" i="1"/>
  <c r="I19" i="1" s="1"/>
  <c r="N20" i="1"/>
  <c r="I20" i="1" s="1"/>
  <c r="N21" i="1"/>
  <c r="I21" i="1" s="1"/>
  <c r="N22" i="1"/>
  <c r="I22" i="1" s="1"/>
  <c r="N23" i="1"/>
  <c r="I23" i="1" s="1"/>
  <c r="N24" i="1"/>
  <c r="I24" i="1" s="1"/>
  <c r="N25" i="1"/>
  <c r="I25" i="1" s="1"/>
  <c r="N26" i="1"/>
  <c r="I26" i="1" s="1"/>
  <c r="N27" i="1"/>
  <c r="I27" i="1" s="1"/>
  <c r="N28" i="1"/>
  <c r="I28" i="1" s="1"/>
  <c r="N29" i="1"/>
  <c r="I29" i="1" s="1"/>
  <c r="N30" i="1"/>
  <c r="I30" i="1" s="1"/>
  <c r="N31" i="1"/>
  <c r="I31" i="1" s="1"/>
  <c r="N32" i="1"/>
  <c r="I32" i="1" s="1"/>
  <c r="N33" i="1"/>
  <c r="I33" i="1" s="1"/>
  <c r="N34" i="1"/>
  <c r="I34" i="1" s="1"/>
  <c r="N35" i="1"/>
  <c r="I35" i="1" s="1"/>
  <c r="N36" i="1"/>
  <c r="I36" i="1" s="1"/>
  <c r="N37" i="1"/>
  <c r="I37" i="1" s="1"/>
  <c r="N38" i="1"/>
  <c r="I38" i="1" s="1"/>
  <c r="N39" i="1"/>
  <c r="I39" i="1" s="1"/>
  <c r="N40" i="1"/>
  <c r="I40" i="1" s="1"/>
  <c r="N41" i="1"/>
  <c r="I41" i="1" s="1"/>
  <c r="N42" i="1"/>
  <c r="I42" i="1" s="1"/>
  <c r="N43" i="1"/>
  <c r="I43" i="1" s="1"/>
  <c r="N44" i="1"/>
  <c r="I44" i="1" s="1"/>
  <c r="N45" i="1"/>
  <c r="I45" i="1" s="1"/>
  <c r="N46" i="1"/>
  <c r="I46" i="1" s="1"/>
  <c r="N47" i="1"/>
  <c r="I47" i="1" s="1"/>
  <c r="N48" i="1"/>
  <c r="I48" i="1" s="1"/>
  <c r="N49" i="1"/>
  <c r="I49" i="1" s="1"/>
  <c r="N50" i="1"/>
  <c r="I50" i="1" s="1"/>
  <c r="N51" i="1"/>
  <c r="I51" i="1" s="1"/>
  <c r="N52" i="1"/>
  <c r="I52" i="1" s="1"/>
  <c r="N53" i="1"/>
  <c r="I53" i="1" s="1"/>
  <c r="N54" i="1"/>
  <c r="I54" i="1" s="1"/>
  <c r="N55" i="1"/>
  <c r="I55" i="1" s="1"/>
  <c r="N56" i="1"/>
  <c r="I56" i="1" s="1"/>
  <c r="N57" i="1"/>
  <c r="I57" i="1" s="1"/>
  <c r="N58" i="1"/>
  <c r="I58" i="1" s="1"/>
  <c r="N59" i="1"/>
  <c r="I59" i="1" s="1"/>
  <c r="N60" i="1"/>
  <c r="I60" i="1" s="1"/>
  <c r="N61" i="1"/>
  <c r="I61" i="1" s="1"/>
  <c r="N62" i="1"/>
  <c r="I62" i="1" s="1"/>
  <c r="N63" i="1"/>
  <c r="I63" i="1" s="1"/>
  <c r="N64" i="1"/>
  <c r="I64" i="1" s="1"/>
  <c r="N65" i="1"/>
  <c r="I65" i="1" s="1"/>
  <c r="N66" i="1"/>
  <c r="I66" i="1" s="1"/>
  <c r="N67" i="1"/>
  <c r="I67" i="1" s="1"/>
  <c r="N68" i="1"/>
  <c r="I68" i="1" s="1"/>
  <c r="N69" i="1"/>
  <c r="I69" i="1" s="1"/>
  <c r="N70" i="1"/>
  <c r="I70" i="1" s="1"/>
  <c r="N71" i="1"/>
  <c r="I71" i="1" s="1"/>
  <c r="N72" i="1"/>
  <c r="I72" i="1" s="1"/>
  <c r="N73" i="1"/>
  <c r="I73" i="1" s="1"/>
  <c r="N74" i="1"/>
  <c r="I74" i="1" s="1"/>
  <c r="N75" i="1"/>
  <c r="I75" i="1" s="1"/>
  <c r="N76" i="1"/>
  <c r="I76" i="1" s="1"/>
  <c r="N77" i="1"/>
  <c r="I77" i="1" s="1"/>
  <c r="N78" i="1"/>
  <c r="I78" i="1" s="1"/>
  <c r="N79" i="1"/>
  <c r="I79" i="1" s="1"/>
  <c r="N80" i="1"/>
  <c r="I80" i="1" s="1"/>
  <c r="N81" i="1"/>
  <c r="I81" i="1" s="1"/>
  <c r="N82" i="1"/>
  <c r="I82" i="1" s="1"/>
  <c r="N83" i="1"/>
  <c r="I83" i="1" s="1"/>
  <c r="N84" i="1"/>
  <c r="I84" i="1" s="1"/>
  <c r="N85" i="1"/>
  <c r="I85" i="1" s="1"/>
  <c r="N86" i="1"/>
  <c r="I86" i="1" s="1"/>
  <c r="N87" i="1"/>
  <c r="I87" i="1" s="1"/>
  <c r="N88" i="1"/>
  <c r="I88" i="1" s="1"/>
  <c r="N89" i="1"/>
  <c r="I89" i="1" s="1"/>
  <c r="N90" i="1"/>
  <c r="I90" i="1" s="1"/>
  <c r="N91" i="1"/>
  <c r="I91" i="1" s="1"/>
  <c r="N92" i="1"/>
  <c r="I92" i="1" s="1"/>
  <c r="N93" i="1"/>
  <c r="I93" i="1" s="1"/>
  <c r="N94" i="1"/>
  <c r="I94" i="1" s="1"/>
  <c r="N95" i="1"/>
  <c r="I95" i="1" s="1"/>
  <c r="N96" i="1"/>
  <c r="I96" i="1" s="1"/>
  <c r="N97" i="1"/>
  <c r="I97" i="1" s="1"/>
  <c r="N98" i="1"/>
  <c r="I98" i="1" s="1"/>
  <c r="N99" i="1"/>
  <c r="I99" i="1" s="1"/>
  <c r="N100" i="1"/>
  <c r="I100" i="1" s="1"/>
  <c r="N101" i="1"/>
  <c r="I101" i="1" s="1"/>
  <c r="N102" i="1"/>
  <c r="I102" i="1" s="1"/>
  <c r="N103" i="1"/>
  <c r="I103" i="1" s="1"/>
  <c r="N104" i="1"/>
  <c r="I104" i="1" s="1"/>
  <c r="N105" i="1"/>
  <c r="I105" i="1" s="1"/>
  <c r="N106" i="1"/>
  <c r="I106" i="1" s="1"/>
  <c r="N107" i="1"/>
  <c r="I107" i="1" s="1"/>
  <c r="N108" i="1"/>
  <c r="I108" i="1" s="1"/>
  <c r="N109" i="1"/>
  <c r="I109" i="1" s="1"/>
  <c r="N110" i="1"/>
  <c r="I110" i="1" s="1"/>
  <c r="N111" i="1"/>
  <c r="I111" i="1" s="1"/>
  <c r="N112" i="1"/>
  <c r="I112" i="1" s="1"/>
  <c r="N113" i="1"/>
  <c r="I113" i="1" s="1"/>
  <c r="N114" i="1"/>
  <c r="I114" i="1" s="1"/>
  <c r="N115" i="1"/>
  <c r="I115" i="1" s="1"/>
  <c r="N116" i="1"/>
  <c r="I116" i="1" s="1"/>
  <c r="N117" i="1"/>
  <c r="I117" i="1" s="1"/>
  <c r="N118" i="1"/>
  <c r="I118" i="1" s="1"/>
  <c r="N119" i="1"/>
  <c r="I119" i="1" s="1"/>
  <c r="N120" i="1"/>
  <c r="I120" i="1" s="1"/>
  <c r="N121" i="1"/>
  <c r="I121" i="1" s="1"/>
  <c r="N122" i="1"/>
  <c r="I122" i="1" s="1"/>
  <c r="N123" i="1"/>
  <c r="I123" i="1" s="1"/>
  <c r="N124" i="1"/>
  <c r="I124" i="1" s="1"/>
  <c r="N125" i="1"/>
  <c r="I125" i="1" s="1"/>
  <c r="N126" i="1"/>
  <c r="I126" i="1" s="1"/>
  <c r="N127" i="1"/>
  <c r="I127" i="1" s="1"/>
  <c r="N128" i="1"/>
  <c r="I128" i="1" s="1"/>
  <c r="N129" i="1"/>
  <c r="I129" i="1" s="1"/>
  <c r="N130" i="1"/>
  <c r="I130" i="1" s="1"/>
  <c r="N131" i="1"/>
  <c r="I131" i="1" s="1"/>
  <c r="N2" i="1"/>
  <c r="I2" i="1" s="1"/>
  <c r="H47" i="2"/>
  <c r="I47" i="2" l="1"/>
</calcChain>
</file>

<file path=xl/sharedStrings.xml><?xml version="1.0" encoding="utf-8"?>
<sst xmlns="http://schemas.openxmlformats.org/spreadsheetml/2006/main" count="4475" uniqueCount="280">
  <si>
    <t>26H</t>
  </si>
  <si>
    <t>H2</t>
  </si>
  <si>
    <t/>
  </si>
  <si>
    <t>Australia</t>
  </si>
  <si>
    <t>WH</t>
  </si>
  <si>
    <t>08</t>
  </si>
  <si>
    <t>PUNTOTRES BAGS &amp; BELTS, s.l.</t>
  </si>
  <si>
    <t>4100128721</t>
  </si>
  <si>
    <t>PXBHZ-H65077</t>
  </si>
  <si>
    <t>ceinture paris</t>
  </si>
  <si>
    <t>LZZ95</t>
  </si>
  <si>
    <t>ICAPDEVILLE</t>
  </si>
  <si>
    <t>1</t>
  </si>
  <si>
    <t>B</t>
  </si>
  <si>
    <t>YNBP</t>
  </si>
  <si>
    <t>FR01</t>
  </si>
  <si>
    <t>A01</t>
  </si>
  <si>
    <t>F003</t>
  </si>
  <si>
    <t>ES02AB005</t>
  </si>
  <si>
    <t>10</t>
  </si>
  <si>
    <t>95</t>
  </si>
  <si>
    <t>PC</t>
  </si>
  <si>
    <t>EUR</t>
  </si>
  <si>
    <t>6000</t>
  </si>
  <si>
    <t>LZZ90</t>
  </si>
  <si>
    <t>90</t>
  </si>
  <si>
    <t>2</t>
  </si>
  <si>
    <t>LZZ100</t>
  </si>
  <si>
    <t>100</t>
  </si>
  <si>
    <t>3</t>
  </si>
  <si>
    <t>4100128732</t>
  </si>
  <si>
    <t>PXCDS-F67008</t>
  </si>
  <si>
    <t>le neige</t>
  </si>
  <si>
    <t>LAWTU</t>
  </si>
  <si>
    <t>TU</t>
  </si>
  <si>
    <t>4100128734</t>
  </si>
  <si>
    <t>PXCDS-F67043</t>
  </si>
  <si>
    <t>le neige clou</t>
  </si>
  <si>
    <t>4100128738</t>
  </si>
  <si>
    <t>PXCEI-F67043</t>
  </si>
  <si>
    <t>CABTU</t>
  </si>
  <si>
    <t>Chine franch</t>
  </si>
  <si>
    <t>4100128719</t>
  </si>
  <si>
    <t>PXBHZ-F65101</t>
  </si>
  <si>
    <t>ceinture rosette</t>
  </si>
  <si>
    <t>4</t>
  </si>
  <si>
    <t>LZZ85</t>
  </si>
  <si>
    <t>85</t>
  </si>
  <si>
    <t>LZZ80</t>
  </si>
  <si>
    <t>80</t>
  </si>
  <si>
    <t>LZZ75</t>
  </si>
  <si>
    <t>75</t>
  </si>
  <si>
    <t>4100128728</t>
  </si>
  <si>
    <t>PXCBT-F65101</t>
  </si>
  <si>
    <t>KBE90</t>
  </si>
  <si>
    <t>KBE85</t>
  </si>
  <si>
    <t>KBE80</t>
  </si>
  <si>
    <t>KBE75</t>
  </si>
  <si>
    <t>4100128735</t>
  </si>
  <si>
    <t>4100128739</t>
  </si>
  <si>
    <t>4100128863</t>
  </si>
  <si>
    <t>PXCBC-F67008</t>
  </si>
  <si>
    <t>KANTU</t>
  </si>
  <si>
    <t>CAWTU</t>
  </si>
  <si>
    <t>Douanes USA</t>
  </si>
  <si>
    <t>UST</t>
  </si>
  <si>
    <t>02</t>
  </si>
  <si>
    <t>4100128706</t>
  </si>
  <si>
    <t>F000</t>
  </si>
  <si>
    <t>4100128707</t>
  </si>
  <si>
    <t>CAE95</t>
  </si>
  <si>
    <t>5</t>
  </si>
  <si>
    <t>CAE90</t>
  </si>
  <si>
    <t>6</t>
  </si>
  <si>
    <t>CAE85</t>
  </si>
  <si>
    <t>7</t>
  </si>
  <si>
    <t>CAE100</t>
  </si>
  <si>
    <t>8</t>
  </si>
  <si>
    <t>4100128708</t>
  </si>
  <si>
    <t>PXCBC-F63023</t>
  </si>
  <si>
    <t>pochette neige clou</t>
  </si>
  <si>
    <t>GAETU</t>
  </si>
  <si>
    <t>4100128711</t>
  </si>
  <si>
    <t>LZZTU</t>
  </si>
  <si>
    <t>20</t>
  </si>
  <si>
    <t>PXCBC-F63024</t>
  </si>
  <si>
    <t>le porte-monnaie neige</t>
  </si>
  <si>
    <t>30</t>
  </si>
  <si>
    <t>PXCBC-F67043</t>
  </si>
  <si>
    <t>40</t>
  </si>
  <si>
    <t>4100128713</t>
  </si>
  <si>
    <t>4100128714</t>
  </si>
  <si>
    <t>PXCBS-F67080</t>
  </si>
  <si>
    <t>paloma small</t>
  </si>
  <si>
    <t>GAUTU</t>
  </si>
  <si>
    <t>4100128715</t>
  </si>
  <si>
    <t>09</t>
  </si>
  <si>
    <t>4100128709</t>
  </si>
  <si>
    <t>4100128710</t>
  </si>
  <si>
    <t>4100128712</t>
  </si>
  <si>
    <t>4100128716</t>
  </si>
  <si>
    <t>PXCDS-F63024</t>
  </si>
  <si>
    <t>4100128717</t>
  </si>
  <si>
    <t>Japan</t>
  </si>
  <si>
    <t>JPT</t>
  </si>
  <si>
    <t>03</t>
  </si>
  <si>
    <t>4100128681</t>
  </si>
  <si>
    <t>4100128682</t>
  </si>
  <si>
    <t>4100128683</t>
  </si>
  <si>
    <t>4100128684</t>
  </si>
  <si>
    <t>4100128685</t>
  </si>
  <si>
    <t>4100128686</t>
  </si>
  <si>
    <t>4100128687</t>
  </si>
  <si>
    <t>4100128688</t>
  </si>
  <si>
    <t>4100128859</t>
  </si>
  <si>
    <t>PXCCM-F67080</t>
  </si>
  <si>
    <t>sac paloma shoulder</t>
  </si>
  <si>
    <t>Korea</t>
  </si>
  <si>
    <t>KRT</t>
  </si>
  <si>
    <t>04</t>
  </si>
  <si>
    <t>4100128689</t>
  </si>
  <si>
    <t>4100128690</t>
  </si>
  <si>
    <t>4100128691</t>
  </si>
  <si>
    <t>4100128692</t>
  </si>
  <si>
    <t>4100128693</t>
  </si>
  <si>
    <t>4100128860</t>
  </si>
  <si>
    <t>Retail</t>
  </si>
  <si>
    <t>RT</t>
  </si>
  <si>
    <t>4100128694</t>
  </si>
  <si>
    <t>4100128695</t>
  </si>
  <si>
    <t>4100128696</t>
  </si>
  <si>
    <t>4100128697</t>
  </si>
  <si>
    <t>4100128698</t>
  </si>
  <si>
    <t>4100128699</t>
  </si>
  <si>
    <t>PXCBS-F67066</t>
  </si>
  <si>
    <t>sac paloma</t>
  </si>
  <si>
    <t>4100128700</t>
  </si>
  <si>
    <t>4100128701</t>
  </si>
  <si>
    <t>4100128702</t>
  </si>
  <si>
    <t>4100128703</t>
  </si>
  <si>
    <t>4100128704</t>
  </si>
  <si>
    <t>PXCEI-F63023</t>
  </si>
  <si>
    <t>la pochette neige clou</t>
  </si>
  <si>
    <t>4100128705</t>
  </si>
  <si>
    <t>4100128861</t>
  </si>
  <si>
    <t>Wholesale</t>
  </si>
  <si>
    <t>07</t>
  </si>
  <si>
    <t>4100128718</t>
  </si>
  <si>
    <t>4100128720</t>
  </si>
  <si>
    <t>4100128722</t>
  </si>
  <si>
    <t>4100128723</t>
  </si>
  <si>
    <t>4100128724</t>
  </si>
  <si>
    <t>4100128725</t>
  </si>
  <si>
    <t>4100128726</t>
  </si>
  <si>
    <t>4100128727</t>
  </si>
  <si>
    <t>4100128729</t>
  </si>
  <si>
    <t>PXCDS-F63023</t>
  </si>
  <si>
    <t>4100128730</t>
  </si>
  <si>
    <t>4100128731</t>
  </si>
  <si>
    <t>4100128733</t>
  </si>
  <si>
    <t>4100128736</t>
  </si>
  <si>
    <t>4100128737</t>
  </si>
  <si>
    <t>4100128862</t>
  </si>
  <si>
    <t>4100128927</t>
  </si>
  <si>
    <t>Code de saison</t>
  </si>
  <si>
    <t>Collection</t>
  </si>
  <si>
    <t>Livraison finale</t>
  </si>
  <si>
    <t>Notre référence</t>
  </si>
  <si>
    <t>Catégorie de stock</t>
  </si>
  <si>
    <t>Votre référence</t>
  </si>
  <si>
    <t>Nom 1</t>
  </si>
  <si>
    <t>Document d'achat</t>
  </si>
  <si>
    <t>Article</t>
  </si>
  <si>
    <t>Désignation</t>
  </si>
  <si>
    <t>Prix net</t>
  </si>
  <si>
    <t>Quantité échéancée</t>
  </si>
  <si>
    <t>Valeur de grille</t>
  </si>
  <si>
    <t>Date livraison</t>
  </si>
  <si>
    <t>Créé par</t>
  </si>
  <si>
    <t>Code de suppression</t>
  </si>
  <si>
    <t>Ligne</t>
  </si>
  <si>
    <t>Date du document</t>
  </si>
  <si>
    <t>Type de stock</t>
  </si>
  <si>
    <t>Saison</t>
  </si>
  <si>
    <t>Type document achat</t>
  </si>
  <si>
    <t>Organisation achats</t>
  </si>
  <si>
    <t>Groupe d'acheteurs</t>
  </si>
  <si>
    <t>Division</t>
  </si>
  <si>
    <t>Magasin</t>
  </si>
  <si>
    <t>Fournisseur</t>
  </si>
  <si>
    <t>Poste</t>
  </si>
  <si>
    <t>Taille</t>
  </si>
  <si>
    <t>Numéro de l'échéance</t>
  </si>
  <si>
    <t>Unité d'achat</t>
  </si>
  <si>
    <t>Montant devise aux interfaces BAPI</t>
  </si>
  <si>
    <t>Valeur nette</t>
  </si>
  <si>
    <t>Devise</t>
  </si>
  <si>
    <t>Date livr. statist.</t>
  </si>
  <si>
    <t>Date d'entrée</t>
  </si>
  <si>
    <t>Date prix</t>
  </si>
  <si>
    <t>Fournisseur Livraison</t>
  </si>
  <si>
    <t>Conditions paiement</t>
  </si>
  <si>
    <t>Couleurs</t>
  </si>
  <si>
    <t>SKU</t>
  </si>
  <si>
    <t>LZZ</t>
  </si>
  <si>
    <t>GAE</t>
  </si>
  <si>
    <t>LAW</t>
  </si>
  <si>
    <t>KAN</t>
  </si>
  <si>
    <t>GAU</t>
  </si>
  <si>
    <t>CAB</t>
  </si>
  <si>
    <t>PXBHZ-F65101LZZ</t>
  </si>
  <si>
    <t>PXBHZ-H65077CAE</t>
  </si>
  <si>
    <t>PXBHZ-H65077LZZ</t>
  </si>
  <si>
    <t>PXCBC-F63023GAE</t>
  </si>
  <si>
    <t>PXCBC-F63023LAW</t>
  </si>
  <si>
    <t>PXCBC-F63023LZZ</t>
  </si>
  <si>
    <t>PXCBC-F63024KAN</t>
  </si>
  <si>
    <t>PXCBC-F63024LZZ</t>
  </si>
  <si>
    <t>PXCBC-F67008CAW</t>
  </si>
  <si>
    <t>PXCBC-F67008KAN</t>
  </si>
  <si>
    <t>PXCBC-F67008LAW</t>
  </si>
  <si>
    <t>PXCBC-F67008LZZ</t>
  </si>
  <si>
    <t>PXCBC-F67043CAW</t>
  </si>
  <si>
    <t>PXCBC-F67043GAE</t>
  </si>
  <si>
    <t>PXCBC-F67043KAN</t>
  </si>
  <si>
    <t>PXCBC-F67043LAW</t>
  </si>
  <si>
    <t>PXCBC-F67043LZZ</t>
  </si>
  <si>
    <t>PXCBS-F67066GAU</t>
  </si>
  <si>
    <t>PXCBS-F67066LZZ</t>
  </si>
  <si>
    <t>PXCBS-F67080GAU</t>
  </si>
  <si>
    <t>PXCBS-F67080LZZ</t>
  </si>
  <si>
    <t>PXCBT-F65101KBE</t>
  </si>
  <si>
    <t>PXCCM-F67080CAB</t>
  </si>
  <si>
    <t>PXCCM-F67080LAW</t>
  </si>
  <si>
    <t>PXCDS-F63023LAW</t>
  </si>
  <si>
    <t>PXCDS-F63024CAB</t>
  </si>
  <si>
    <t>PXCDS-F67008CAB</t>
  </si>
  <si>
    <t>PXCDS-F67008LAW</t>
  </si>
  <si>
    <t>PXCDS-F67043LAW</t>
  </si>
  <si>
    <t>PXCEI-F63023CAB</t>
  </si>
  <si>
    <t>PXCEI-F67043CAB</t>
  </si>
  <si>
    <t>MODÈLE</t>
  </si>
  <si>
    <t>Grand Total</t>
  </si>
  <si>
    <t>(blank)</t>
  </si>
  <si>
    <t>PRIX FALL 26</t>
  </si>
  <si>
    <t>ARGENT / OR</t>
  </si>
  <si>
    <t>ARGENT</t>
  </si>
  <si>
    <t>OR</t>
  </si>
  <si>
    <t>PIÈCES</t>
  </si>
  <si>
    <t>CAE</t>
  </si>
  <si>
    <t>CAW</t>
  </si>
  <si>
    <t>KBE</t>
  </si>
  <si>
    <t>Pièces</t>
  </si>
  <si>
    <t>Total LZZ</t>
  </si>
  <si>
    <t>Total PXBHZ-F65101</t>
  </si>
  <si>
    <t>Total CAE</t>
  </si>
  <si>
    <t>Total PXBHZ-H65077</t>
  </si>
  <si>
    <t>Total PXCBC-F63023</t>
  </si>
  <si>
    <t>Total PXCBC-F63024</t>
  </si>
  <si>
    <t>Total PXCBC-F67008</t>
  </si>
  <si>
    <t>Total PXCBC-F67043</t>
  </si>
  <si>
    <t>Total PXCBS-F67066</t>
  </si>
  <si>
    <t>Total PXCBS-F67080</t>
  </si>
  <si>
    <t>Total PXCBT-F65101</t>
  </si>
  <si>
    <t>Total PXCCM-F67080</t>
  </si>
  <si>
    <t>Total PXCDS-F63023</t>
  </si>
  <si>
    <t>Total PXCDS-F63024</t>
  </si>
  <si>
    <t>Total PXCDS-F67008</t>
  </si>
  <si>
    <t>Total PXCDS-F67043</t>
  </si>
  <si>
    <t>Total PXCEI-F63023</t>
  </si>
  <si>
    <t>Total PXCEI-F67043</t>
  </si>
  <si>
    <t>(en blanco)</t>
  </si>
  <si>
    <t>Total general</t>
  </si>
  <si>
    <t>Total GAE</t>
  </si>
  <si>
    <t>Total LAW</t>
  </si>
  <si>
    <t>Total KAN</t>
  </si>
  <si>
    <t>Total CAW</t>
  </si>
  <si>
    <t>Total CAB</t>
  </si>
  <si>
    <t>Total GAU</t>
  </si>
  <si>
    <t>Total KBE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</si>
</sst>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.000"/>
    <numFmt numFmtId="165" formatCode="#,##0.000000000"/>
    <numFmt numFmtId="166" formatCode="#,##0.00\ &quot;€&quot;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8" borderId="0" applyNumberFormat="0" applyBorder="0" applyAlignment="0" applyProtection="0"/>
  </cellStyleXfs>
  <cellXfs count="4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3" fontId="0" fillId="0" borderId="0" xfId="0" applyNumberFormat="1" applyAlignment="1">
      <alignment horizontal="right" vertical="top"/>
    </xf>
    <xf numFmtId="0" fontId="0" fillId="0" borderId="0" xfId="0" pivotButton="1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1" xfId="0" pivotButton="1" applyBorder="1" applyAlignment="1">
      <alignment vertical="top"/>
    </xf>
    <xf numFmtId="0" fontId="0" fillId="0" borderId="1" xfId="0" applyBorder="1" applyAlignment="1">
      <alignment vertical="top"/>
    </xf>
    <xf numFmtId="166" fontId="0" fillId="0" borderId="0" xfId="0" applyNumberFormat="1" applyAlignment="1">
      <alignment vertical="top"/>
    </xf>
    <xf numFmtId="166" fontId="2" fillId="0" borderId="3" xfId="1" applyNumberFormat="1" applyFont="1" applyBorder="1" applyAlignment="1">
      <alignment horizontal="center" vertical="center"/>
    </xf>
    <xf numFmtId="166" fontId="2" fillId="0" borderId="5" xfId="1" applyNumberFormat="1" applyFont="1" applyBorder="1" applyAlignment="1">
      <alignment horizontal="center" vertical="center"/>
    </xf>
    <xf numFmtId="166" fontId="2" fillId="0" borderId="1" xfId="1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vertical="top"/>
    </xf>
    <xf numFmtId="166" fontId="2" fillId="0" borderId="3" xfId="0" applyNumberFormat="1" applyFont="1" applyBorder="1" applyAlignment="1">
      <alignment horizontal="center" vertical="top"/>
    </xf>
    <xf numFmtId="0" fontId="4" fillId="5" borderId="3" xfId="0" applyFont="1" applyFill="1" applyBorder="1"/>
    <xf numFmtId="166" fontId="2" fillId="0" borderId="1" xfId="0" applyNumberFormat="1" applyFont="1" applyBorder="1" applyAlignment="1">
      <alignment horizontal="center" vertical="top"/>
    </xf>
    <xf numFmtId="166" fontId="2" fillId="0" borderId="5" xfId="0" applyNumberFormat="1" applyFont="1" applyBorder="1" applyAlignment="1">
      <alignment horizontal="center" vertical="center"/>
    </xf>
    <xf numFmtId="166" fontId="2" fillId="0" borderId="4" xfId="0" applyNumberFormat="1" applyFont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0" borderId="4" xfId="0" applyNumberFormat="1" applyFont="1" applyBorder="1" applyAlignment="1">
      <alignment horizontal="center"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5" fillId="6" borderId="3" xfId="0" applyFont="1" applyFill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2" xfId="0" applyBorder="1" applyAlignment="1">
      <alignment vertical="top"/>
    </xf>
    <xf numFmtId="166" fontId="2" fillId="7" borderId="3" xfId="0" applyNumberFormat="1" applyFont="1" applyFill="1" applyBorder="1" applyAlignment="1">
      <alignment horizontal="center" vertical="top"/>
    </xf>
    <xf numFmtId="166" fontId="0" fillId="7" borderId="4" xfId="0" applyNumberFormat="1" applyFill="1" applyBorder="1" applyAlignment="1">
      <alignment vertical="top"/>
    </xf>
    <xf numFmtId="166" fontId="2" fillId="7" borderId="3" xfId="1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horizontal="center" vertical="top"/>
    </xf>
    <xf numFmtId="0" fontId="0" fillId="4" borderId="0" xfId="0" applyNumberFormat="1" applyFill="1" applyAlignment="1">
      <alignment horizontal="center" vertical="top"/>
    </xf>
    <xf numFmtId="0" fontId="0" fillId="3" borderId="0" xfId="0" applyNumberFormat="1" applyFill="1" applyAlignment="1">
      <alignment horizontal="center" vertical="top"/>
    </xf>
    <xf numFmtId="0" fontId="0" fillId="9" borderId="0" xfId="0" applyFill="1" applyAlignment="1">
      <alignment vertical="top"/>
    </xf>
    <xf numFmtId="0" fontId="0" fillId="9" borderId="0" xfId="0" applyNumberFormat="1" applyFill="1" applyAlignment="1">
      <alignment horizontal="center" vertical="top"/>
    </xf>
    <xf numFmtId="0" fontId="6" fillId="8" borderId="0" xfId="2" applyAlignment="1">
      <alignment vertical="top"/>
    </xf>
    <xf numFmtId="166" fontId="2" fillId="0" borderId="3" xfId="1" applyNumberFormat="1" applyFont="1" applyBorder="1" applyAlignment="1">
      <alignment horizontal="center" vertical="center"/>
    </xf>
    <xf numFmtId="166" fontId="2" fillId="0" borderId="4" xfId="1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</cellXfs>
  <cellStyles count="3">
    <cellStyle name="Bueno" xfId="2" builtinId="26"/>
    <cellStyle name="Moneda" xfId="1" builtinId="4"/>
    <cellStyle name="Normal" xfId="0" builtinId="0"/>
  </cellStyles>
  <dxfs count="208"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7558519241921"/>
        </patternFill>
      </fill>
    </dxf>
    <dxf>
      <alignment horizontal="center"/>
    </dxf>
    <dxf>
      <alignment horizontal="center"/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alignment horizontal="center"/>
    </dxf>
    <dxf>
      <alignment horizontal="center"/>
    </dxf>
    <dxf>
      <fill>
        <patternFill>
          <bgColor theme="5" tint="0.39997558519241921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da MOVSES" refreshedDate="46085.661407754633" createdVersion="8" refreshedVersion="8" minRefreshableVersion="3" recordCount="131" xr:uid="{3D968E2E-6B66-410D-8F02-4A105AA3DEA9}">
  <cacheSource type="worksheet">
    <worksheetSource ref="A1:AO1048576" sheet="Sheet1"/>
  </cacheSource>
  <cacheFields count="41">
    <cacheField name="Code de saison" numFmtId="0">
      <sharedItems containsBlank="1"/>
    </cacheField>
    <cacheField name="Collection" numFmtId="0">
      <sharedItems containsBlank="1"/>
    </cacheField>
    <cacheField name="Livraison finale" numFmtId="0">
      <sharedItems containsBlank="1"/>
    </cacheField>
    <cacheField name="Notre référence" numFmtId="0">
      <sharedItems containsBlank="1"/>
    </cacheField>
    <cacheField name="Catégorie de stock" numFmtId="0">
      <sharedItems containsBlank="1" count="6">
        <s v="WH"/>
        <s v="UST"/>
        <s v="JPT"/>
        <s v="KRT"/>
        <s v="RT"/>
        <m/>
      </sharedItems>
    </cacheField>
    <cacheField name="Votre référence" numFmtId="0">
      <sharedItems containsBlank="1"/>
    </cacheField>
    <cacheField name="Nom 1" numFmtId="0">
      <sharedItems containsBlank="1"/>
    </cacheField>
    <cacheField name="Document d'achat" numFmtId="0">
      <sharedItems containsBlank="1" count="66">
        <s v="4100128721"/>
        <s v="4100128732"/>
        <s v="4100128734"/>
        <s v="4100128738"/>
        <s v="4100128719"/>
        <s v="4100128728"/>
        <s v="4100128735"/>
        <s v="4100128739"/>
        <s v="4100128863"/>
        <s v="4100128706"/>
        <s v="4100128707"/>
        <s v="4100128708"/>
        <s v="4100128711"/>
        <s v="4100128713"/>
        <s v="4100128714"/>
        <s v="4100128715"/>
        <s v="4100128709"/>
        <s v="4100128710"/>
        <s v="4100128712"/>
        <s v="4100128716"/>
        <s v="4100128717"/>
        <s v="4100128681"/>
        <s v="4100128682"/>
        <s v="4100128683"/>
        <s v="4100128684"/>
        <s v="4100128685"/>
        <s v="4100128686"/>
        <s v="4100128687"/>
        <s v="4100128688"/>
        <s v="4100128859"/>
        <s v="4100128689"/>
        <s v="4100128690"/>
        <s v="4100128691"/>
        <s v="4100128692"/>
        <s v="4100128693"/>
        <s v="4100128860"/>
        <s v="4100128694"/>
        <s v="4100128695"/>
        <s v="4100128696"/>
        <s v="4100128697"/>
        <s v="4100128698"/>
        <s v="4100128699"/>
        <s v="4100128700"/>
        <s v="4100128701"/>
        <s v="4100128702"/>
        <s v="4100128703"/>
        <s v="4100128704"/>
        <s v="4100128705"/>
        <s v="4100128861"/>
        <s v="4100128718"/>
        <s v="4100128720"/>
        <s v="4100128722"/>
        <s v="4100128723"/>
        <s v="4100128724"/>
        <s v="4100128725"/>
        <s v="4100128726"/>
        <s v="4100128727"/>
        <s v="4100128729"/>
        <s v="4100128730"/>
        <s v="4100128731"/>
        <s v="4100128733"/>
        <s v="4100128736"/>
        <s v="4100128737"/>
        <s v="4100128862"/>
        <s v="4100128927"/>
        <m/>
      </sharedItems>
    </cacheField>
    <cacheField name="SKU" numFmtId="0">
      <sharedItems containsBlank="1" count="32">
        <s v="PXBHZ-H65077LZZ"/>
        <s v="PXCDS-F67008LAW"/>
        <s v="PXCDS-F67043LAW"/>
        <s v="PXCEI-F67043CAB"/>
        <s v="PXBHZ-F65101LZZ"/>
        <s v="PXCBT-F65101KBE"/>
        <s v="PXCBC-F67008LAW"/>
        <s v="PXCBC-F67008KAN"/>
        <s v="PXCBC-F67008CAW"/>
        <s v="PXBHZ-H65077CAE"/>
        <s v="PXCBC-F63023GAE"/>
        <s v="PXCBC-F67008LZZ"/>
        <s v="PXCBC-F63023LAW"/>
        <s v="PXCBC-F63024LZZ"/>
        <s v="PXCBC-F67043KAN"/>
        <s v="PXCBC-F67043GAE"/>
        <s v="PXCBS-F67080GAU"/>
        <s v="PXCBC-F63023LZZ"/>
        <s v="PXCBC-F63024KAN"/>
        <s v="PXCDS-F63024CAB"/>
        <s v="PXCBC-F67043LZZ"/>
        <s v="PXCBS-F67080LZZ"/>
        <s v="PXCCM-F67080CAB"/>
        <s v="PXCBC-F67043LAW"/>
        <s v="PXCCM-F67080LAW"/>
        <s v="PXCBC-F67043CAW"/>
        <s v="PXCBS-F67066LZZ"/>
        <s v="PXCBS-F67066GAU"/>
        <s v="PXCEI-F63023CAB"/>
        <s v="PXCDS-F63023LAW"/>
        <s v="PXCDS-F67008CAB"/>
        <m/>
      </sharedItems>
    </cacheField>
    <cacheField name="Article" numFmtId="0">
      <sharedItems containsBlank="1" count="17">
        <s v="PXBHZ-H65077"/>
        <s v="PXCDS-F67008"/>
        <s v="PXCDS-F67043"/>
        <s v="PXCEI-F67043"/>
        <s v="PXBHZ-F65101"/>
        <s v="PXCBT-F65101"/>
        <s v="PXCBC-F67008"/>
        <s v="PXCBC-F63023"/>
        <s v="PXCBC-F63024"/>
        <s v="PXCBC-F67043"/>
        <s v="PXCBS-F67080"/>
        <s v="PXCDS-F63024"/>
        <s v="PXCCM-F67080"/>
        <s v="PXCBS-F67066"/>
        <s v="PXCEI-F63023"/>
        <s v="PXCDS-F63023"/>
        <m/>
      </sharedItems>
    </cacheField>
    <cacheField name="Désignation" numFmtId="0">
      <sharedItems containsBlank="1" count="11">
        <s v="ceinture paris"/>
        <s v="le neige"/>
        <s v="le neige clou"/>
        <s v="ceinture rosette"/>
        <s v="pochette neige clou"/>
        <s v="le porte-monnaie neige"/>
        <s v="paloma small"/>
        <s v="sac paloma shoulder"/>
        <s v="sac paloma"/>
        <s v="la pochette neige clou"/>
        <m/>
      </sharedItems>
    </cacheField>
    <cacheField name="Prix net" numFmtId="0">
      <sharedItems containsString="0" containsBlank="1" containsNumber="1" minValue="1" maxValue="108"/>
    </cacheField>
    <cacheField name="Quantité échéancée" numFmtId="0">
      <sharedItems containsString="0" containsBlank="1" containsNumber="1" containsInteger="1" minValue="1" maxValue="326"/>
    </cacheField>
    <cacheField name="Couleurs" numFmtId="0">
      <sharedItems containsBlank="1" count="10">
        <s v="LZZ"/>
        <s v="LAW"/>
        <s v="CAB"/>
        <s v="KBE"/>
        <s v="KAN"/>
        <s v="CAW"/>
        <s v="CAE"/>
        <s v="GAE"/>
        <s v="GAU"/>
        <m/>
      </sharedItems>
    </cacheField>
    <cacheField name="Valeur de grille" numFmtId="0">
      <sharedItems containsBlank="1" count="22">
        <s v="LZZ95"/>
        <s v="LZZ90"/>
        <s v="LZZ100"/>
        <s v="LAWTU"/>
        <s v="CABTU"/>
        <s v="LZZ85"/>
        <s v="LZZ80"/>
        <s v="LZZ75"/>
        <s v="KBE90"/>
        <s v="KBE85"/>
        <s v="KBE80"/>
        <s v="KBE75"/>
        <s v="KANTU"/>
        <s v="CAWTU"/>
        <s v="CAE95"/>
        <s v="CAE90"/>
        <s v="CAE85"/>
        <s v="CAE100"/>
        <s v="GAETU"/>
        <s v="LZZTU"/>
        <s v="GAUTU"/>
        <m/>
      </sharedItems>
    </cacheField>
    <cacheField name="Date livraison" numFmtId="0">
      <sharedItems containsNonDate="0" containsDate="1" containsString="0" containsBlank="1" minDate="2026-02-26T00:00:00" maxDate="2026-06-30T00:00:00"/>
    </cacheField>
    <cacheField name="Créé par" numFmtId="0">
      <sharedItems containsBlank="1"/>
    </cacheField>
    <cacheField name="Code de suppression" numFmtId="0">
      <sharedItems containsBlank="1"/>
    </cacheField>
    <cacheField name="Ligne" numFmtId="0">
      <sharedItems containsBlank="1"/>
    </cacheField>
    <cacheField name="Date du document" numFmtId="0">
      <sharedItems containsNonDate="0" containsDate="1" containsString="0" containsBlank="1" minDate="2026-02-26T00:00:00" maxDate="2026-02-28T00:00:00"/>
    </cacheField>
    <cacheField name="Type de stock" numFmtId="0">
      <sharedItems containsBlank="1"/>
    </cacheField>
    <cacheField name="Saison" numFmtId="0">
      <sharedItems containsBlank="1"/>
    </cacheField>
    <cacheField name="Type document achat" numFmtId="0">
      <sharedItems containsBlank="1"/>
    </cacheField>
    <cacheField name="Organisation achats" numFmtId="0">
      <sharedItems containsBlank="1"/>
    </cacheField>
    <cacheField name="Groupe d'acheteurs" numFmtId="0">
      <sharedItems containsBlank="1"/>
    </cacheField>
    <cacheField name="Division" numFmtId="0">
      <sharedItems containsBlank="1"/>
    </cacheField>
    <cacheField name="Magasin" numFmtId="0">
      <sharedItems containsBlank="1"/>
    </cacheField>
    <cacheField name="Fournisseur" numFmtId="0">
      <sharedItems containsBlank="1"/>
    </cacheField>
    <cacheField name="Poste" numFmtId="0">
      <sharedItems containsBlank="1"/>
    </cacheField>
    <cacheField name="Taille" numFmtId="0">
      <sharedItems containsBlank="1"/>
    </cacheField>
    <cacheField name="Numéro de l'échéance" numFmtId="0">
      <sharedItems containsBlank="1"/>
    </cacheField>
    <cacheField name="Unité d'achat" numFmtId="0">
      <sharedItems containsBlank="1"/>
    </cacheField>
    <cacheField name="Montant devise aux interfaces BAPI" numFmtId="0">
      <sharedItems containsString="0" containsBlank="1" containsNumber="1" minValue="1" maxValue="108"/>
    </cacheField>
    <cacheField name="Valeur nette" numFmtId="0">
      <sharedItems containsString="0" containsBlank="1" containsNumber="1" minValue="2" maxValue="22102.799999999999"/>
    </cacheField>
    <cacheField name="Devise" numFmtId="0">
      <sharedItems containsBlank="1"/>
    </cacheField>
    <cacheField name="Date livr. statist." numFmtId="0">
      <sharedItems containsNonDate="0" containsDate="1" containsString="0" containsBlank="1" minDate="2026-02-26T00:00:00" maxDate="2026-06-30T00:00:00"/>
    </cacheField>
    <cacheField name="Date d'entrée" numFmtId="0">
      <sharedItems containsNonDate="0" containsDate="1" containsString="0" containsBlank="1" minDate="2026-03-03T00:00:00" maxDate="2026-07-04T00:00:00"/>
    </cacheField>
    <cacheField name="Date prix" numFmtId="0">
      <sharedItems containsNonDate="0" containsDate="1" containsString="0" containsBlank="1" minDate="2026-02-26T00:00:00" maxDate="2026-02-28T00:00:00"/>
    </cacheField>
    <cacheField name="Fournisseur Livraison" numFmtId="0">
      <sharedItems containsBlank="1"/>
    </cacheField>
    <cacheField name="Fournisseur Livraison2" numFmtId="0">
      <sharedItems containsBlank="1"/>
    </cacheField>
    <cacheField name="Conditions paie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s v="26H"/>
    <s v="H2"/>
    <s v=""/>
    <s v="Australia"/>
    <x v="0"/>
    <s v="08"/>
    <s v="PUNTOTRES BAGS &amp; BELTS, s.l."/>
    <x v="0"/>
    <x v="0"/>
    <x v="0"/>
    <x v="0"/>
    <n v="31.5"/>
    <n v="3"/>
    <x v="0"/>
    <x v="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5"/>
    <s v="1"/>
    <s v="PC"/>
    <n v="31.5"/>
    <n v="94.5"/>
    <s v="EUR"/>
    <d v="2026-02-26T00:00:00"/>
    <d v="2026-03-03T00:00:00"/>
    <d v="2026-02-26T00:00:00"/>
    <s v=""/>
    <s v=""/>
    <s v="6000"/>
  </r>
  <r>
    <s v="26H"/>
    <s v="H2"/>
    <s v=""/>
    <s v="Australia"/>
    <x v="0"/>
    <s v="08"/>
    <s v="PUNTOTRES BAGS &amp; BELTS, s.l."/>
    <x v="0"/>
    <x v="0"/>
    <x v="0"/>
    <x v="0"/>
    <n v="31.5"/>
    <n v="3"/>
    <x v="0"/>
    <x v="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2"/>
    <s v="PC"/>
    <n v="31.5"/>
    <n v="94.5"/>
    <s v="EUR"/>
    <d v="2026-02-26T00:00:00"/>
    <d v="2026-03-03T00:00:00"/>
    <d v="2026-02-26T00:00:00"/>
    <s v=""/>
    <s v=""/>
    <s v="6000"/>
  </r>
  <r>
    <s v="26H"/>
    <s v="H2"/>
    <s v=""/>
    <s v="Australia"/>
    <x v="0"/>
    <s v="08"/>
    <s v="PUNTOTRES BAGS &amp; BELTS, s.l."/>
    <x v="0"/>
    <x v="0"/>
    <x v="0"/>
    <x v="0"/>
    <n v="31.5"/>
    <n v="3"/>
    <x v="0"/>
    <x v="2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100"/>
    <s v="3"/>
    <s v="PC"/>
    <n v="31.5"/>
    <n v="94.5"/>
    <s v="EUR"/>
    <d v="2026-02-26T00:00:00"/>
    <d v="2026-03-03T00:00:00"/>
    <d v="2026-02-26T00:00:00"/>
    <s v=""/>
    <s v=""/>
    <s v="6000"/>
  </r>
  <r>
    <s v="26H"/>
    <s v="H2"/>
    <s v=""/>
    <s v="Australia"/>
    <x v="0"/>
    <s v="08"/>
    <s v="PUNTOTRES BAGS &amp; BELTS, s.l."/>
    <x v="1"/>
    <x v="1"/>
    <x v="1"/>
    <x v="1"/>
    <n v="85"/>
    <n v="18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5"/>
    <n v="1530"/>
    <s v="EUR"/>
    <d v="2026-02-26T00:00:00"/>
    <d v="2026-03-03T00:00:00"/>
    <d v="2026-02-26T00:00:00"/>
    <s v=""/>
    <s v=""/>
    <s v="6000"/>
  </r>
  <r>
    <s v="26H"/>
    <s v="H2"/>
    <s v=""/>
    <s v="Australia"/>
    <x v="0"/>
    <s v="08"/>
    <s v="PUNTOTRES BAGS &amp; BELTS, s.l."/>
    <x v="2"/>
    <x v="2"/>
    <x v="2"/>
    <x v="2"/>
    <n v="89.5"/>
    <n v="14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1253"/>
    <s v="EUR"/>
    <d v="2026-02-26T00:00:00"/>
    <d v="2026-03-03T00:00:00"/>
    <d v="2026-02-26T00:00:00"/>
    <s v=""/>
    <s v=""/>
    <s v="6000"/>
  </r>
  <r>
    <s v="26H"/>
    <s v="H2"/>
    <s v=""/>
    <s v="Australia"/>
    <x v="0"/>
    <s v="08"/>
    <s v="PUNTOTRES BAGS &amp; BELTS, s.l."/>
    <x v="3"/>
    <x v="3"/>
    <x v="3"/>
    <x v="2"/>
    <n v="89.5"/>
    <n v="8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716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4"/>
    <x v="4"/>
    <x v="4"/>
    <x v="3"/>
    <n v="22.4"/>
    <n v="1"/>
    <x v="0"/>
    <x v="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4"/>
    <s v="PC"/>
    <n v="22.4"/>
    <n v="22.4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4"/>
    <x v="4"/>
    <x v="4"/>
    <x v="3"/>
    <n v="22.4"/>
    <n v="1"/>
    <x v="0"/>
    <x v="5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5"/>
    <s v="1"/>
    <s v="PC"/>
    <n v="22.4"/>
    <n v="22.4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4"/>
    <x v="4"/>
    <x v="4"/>
    <x v="3"/>
    <n v="22.4"/>
    <n v="2"/>
    <x v="0"/>
    <x v="6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0"/>
    <s v="2"/>
    <s v="PC"/>
    <n v="22.4"/>
    <n v="44.8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4"/>
    <x v="4"/>
    <x v="4"/>
    <x v="3"/>
    <n v="22.4"/>
    <n v="1"/>
    <x v="0"/>
    <x v="7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75"/>
    <s v="3"/>
    <s v="PC"/>
    <n v="22.4"/>
    <n v="22.4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5"/>
    <x v="5"/>
    <x v="5"/>
    <x v="3"/>
    <n v="20.9"/>
    <n v="1"/>
    <x v="3"/>
    <x v="8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2"/>
    <s v="PC"/>
    <n v="20.9"/>
    <n v="20.9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5"/>
    <x v="5"/>
    <x v="5"/>
    <x v="3"/>
    <n v="20.9"/>
    <n v="1"/>
    <x v="3"/>
    <x v="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5"/>
    <s v="3"/>
    <s v="PC"/>
    <n v="20.9"/>
    <n v="20.9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5"/>
    <x v="5"/>
    <x v="5"/>
    <x v="3"/>
    <n v="20.9"/>
    <n v="2"/>
    <x v="3"/>
    <x v="1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0"/>
    <s v="4"/>
    <s v="PC"/>
    <n v="20.9"/>
    <n v="41.8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5"/>
    <x v="5"/>
    <x v="5"/>
    <x v="3"/>
    <n v="20.9"/>
    <n v="1"/>
    <x v="3"/>
    <x v="1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75"/>
    <s v="1"/>
    <s v="PC"/>
    <n v="20.9"/>
    <n v="20.9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6"/>
    <x v="2"/>
    <x v="2"/>
    <x v="2"/>
    <n v="89.5"/>
    <n v="20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1790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7"/>
    <x v="3"/>
    <x v="3"/>
    <x v="2"/>
    <n v="89.5"/>
    <n v="20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1790"/>
    <s v="EUR"/>
    <d v="2026-02-26T00:00:00"/>
    <d v="2026-03-03T00:00:00"/>
    <d v="2026-02-26T00:00:00"/>
    <s v=""/>
    <s v=""/>
    <s v="6000"/>
  </r>
  <r>
    <s v="26H"/>
    <s v="H2"/>
    <s v=""/>
    <s v="Chine franch"/>
    <x v="0"/>
    <s v="10"/>
    <s v="PUNTOTRES BAGS &amp; BELTS, s.l."/>
    <x v="8"/>
    <x v="6"/>
    <x v="6"/>
    <x v="1"/>
    <n v="67.8"/>
    <n v="20"/>
    <x v="1"/>
    <x v="3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3"/>
    <s v="PC"/>
    <n v="67.8"/>
    <n v="1356"/>
    <s v="EUR"/>
    <d v="2026-02-27T00:00:00"/>
    <d v="2026-03-04T00:00:00"/>
    <d v="2026-02-27T00:00:00"/>
    <s v=""/>
    <s v=""/>
    <s v="6000"/>
  </r>
  <r>
    <s v="26H"/>
    <s v="H2"/>
    <s v=""/>
    <s v="Chine franch"/>
    <x v="0"/>
    <s v="10"/>
    <s v="PUNTOTRES BAGS &amp; BELTS, s.l."/>
    <x v="8"/>
    <x v="7"/>
    <x v="6"/>
    <x v="1"/>
    <n v="67.8"/>
    <n v="10"/>
    <x v="4"/>
    <x v="12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2"/>
    <s v="PC"/>
    <n v="67.8"/>
    <n v="678"/>
    <s v="EUR"/>
    <d v="2026-02-27T00:00:00"/>
    <d v="2026-03-04T00:00:00"/>
    <d v="2026-02-27T00:00:00"/>
    <s v=""/>
    <s v=""/>
    <s v="6000"/>
  </r>
  <r>
    <s v="26H"/>
    <s v="H2"/>
    <s v=""/>
    <s v="Chine franch"/>
    <x v="0"/>
    <s v="10"/>
    <s v="PUNTOTRES BAGS &amp; BELTS, s.l."/>
    <x v="8"/>
    <x v="8"/>
    <x v="6"/>
    <x v="1"/>
    <n v="67.8"/>
    <n v="10"/>
    <x v="5"/>
    <x v="13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1"/>
    <s v="PC"/>
    <n v="67.8"/>
    <n v="678"/>
    <s v="EUR"/>
    <d v="2026-02-27T00:00:00"/>
    <d v="2026-03-04T00:00:00"/>
    <d v="2026-02-27T00:00:00"/>
    <s v=""/>
    <s v=""/>
    <s v="6000"/>
  </r>
  <r>
    <s v="26H"/>
    <s v="H2"/>
    <s v=""/>
    <s v="Douanes USA"/>
    <x v="1"/>
    <s v="02"/>
    <s v="PUNTOTRES BAGS &amp; BELTS, s.l."/>
    <x v="9"/>
    <x v="4"/>
    <x v="4"/>
    <x v="3"/>
    <n v="22.4"/>
    <n v="5"/>
    <x v="0"/>
    <x v="1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0"/>
    <s v="4"/>
    <s v="PC"/>
    <n v="22.4"/>
    <n v="112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9"/>
    <x v="4"/>
    <x v="4"/>
    <x v="3"/>
    <n v="22.4"/>
    <n v="5"/>
    <x v="0"/>
    <x v="5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3"/>
    <s v="PC"/>
    <n v="22.4"/>
    <n v="112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9"/>
    <x v="4"/>
    <x v="4"/>
    <x v="3"/>
    <n v="22.4"/>
    <n v="5"/>
    <x v="0"/>
    <x v="6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0"/>
    <s v="2"/>
    <s v="PC"/>
    <n v="22.4"/>
    <n v="112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9"/>
    <x v="4"/>
    <x v="4"/>
    <x v="3"/>
    <n v="22.4"/>
    <n v="5"/>
    <x v="0"/>
    <x v="7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75"/>
    <s v="1"/>
    <s v="PC"/>
    <n v="22.4"/>
    <n v="112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0"/>
    <x v="0"/>
    <x v="0"/>
    <n v="31.5"/>
    <n v="10"/>
    <x v="0"/>
    <x v="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5"/>
    <s v="1"/>
    <s v="PC"/>
    <n v="31.5"/>
    <n v="31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9"/>
    <x v="0"/>
    <x v="0"/>
    <n v="31.5"/>
    <n v="15"/>
    <x v="6"/>
    <x v="1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5"/>
    <s v="5"/>
    <s v="PC"/>
    <n v="31.5"/>
    <n v="472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0"/>
    <x v="0"/>
    <x v="0"/>
    <n v="31.5"/>
    <n v="5"/>
    <x v="0"/>
    <x v="1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0"/>
    <s v="2"/>
    <s v="PC"/>
    <n v="31.5"/>
    <n v="157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9"/>
    <x v="0"/>
    <x v="0"/>
    <n v="31.5"/>
    <n v="10"/>
    <x v="6"/>
    <x v="15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0"/>
    <s v="6"/>
    <s v="PC"/>
    <n v="31.5"/>
    <n v="31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0"/>
    <x v="0"/>
    <x v="0"/>
    <n v="31.5"/>
    <n v="5"/>
    <x v="0"/>
    <x v="5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3"/>
    <s v="PC"/>
    <n v="31.5"/>
    <n v="157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9"/>
    <x v="0"/>
    <x v="0"/>
    <n v="31.5"/>
    <n v="10"/>
    <x v="6"/>
    <x v="16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7"/>
    <s v="PC"/>
    <n v="31.5"/>
    <n v="31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0"/>
    <x v="0"/>
    <x v="0"/>
    <n v="31.5"/>
    <n v="5"/>
    <x v="0"/>
    <x v="2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100"/>
    <s v="4"/>
    <s v="PC"/>
    <n v="31.5"/>
    <n v="157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0"/>
    <x v="9"/>
    <x v="0"/>
    <x v="0"/>
    <n v="31.5"/>
    <n v="15"/>
    <x v="6"/>
    <x v="17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100"/>
    <s v="8"/>
    <s v="PC"/>
    <n v="31.5"/>
    <n v="472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1"/>
    <x v="10"/>
    <x v="7"/>
    <x v="4"/>
    <n v="41.5"/>
    <n v="19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41.5"/>
    <n v="788.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2"/>
    <x v="11"/>
    <x v="6"/>
    <x v="1"/>
    <n v="67.8"/>
    <n v="26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7.8"/>
    <n v="1762.8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2"/>
    <x v="6"/>
    <x v="6"/>
    <x v="1"/>
    <n v="67.8"/>
    <n v="16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67.8"/>
    <n v="1084.8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2"/>
    <x v="12"/>
    <x v="7"/>
    <x v="4"/>
    <n v="41.5"/>
    <n v="9"/>
    <x v="1"/>
    <x v="3"/>
    <d v="2026-06-29T00:00:00"/>
    <s v="ICAPDEVILLE"/>
    <s v=""/>
    <s v="1"/>
    <d v="2026-02-26T00:00:00"/>
    <s v="B"/>
    <s v=""/>
    <s v="YNBP"/>
    <s v="FR01"/>
    <s v="A01"/>
    <s v="F000"/>
    <s v="F000"/>
    <s v="ES02AB005"/>
    <s v="20"/>
    <s v="TU"/>
    <s v="1"/>
    <s v="PC"/>
    <n v="41.5"/>
    <n v="373.5"/>
    <s v="EUR"/>
    <d v="2026-06-29T00:00:00"/>
    <d v="2026-07-03T00:00:00"/>
    <d v="2026-02-27T00:00:00"/>
    <s v=""/>
    <s v=""/>
    <s v="6000"/>
  </r>
  <r>
    <s v="26H"/>
    <s v="H2"/>
    <s v=""/>
    <s v="Douanes USA"/>
    <x v="1"/>
    <s v="02"/>
    <s v="PUNTOTRES BAGS &amp; BELTS, s.l."/>
    <x v="12"/>
    <x v="13"/>
    <x v="8"/>
    <x v="5"/>
    <n v="28.8"/>
    <n v="16"/>
    <x v="0"/>
    <x v="19"/>
    <d v="2026-06-29T00:00:00"/>
    <s v="ICAPDEVILLE"/>
    <s v=""/>
    <s v="1"/>
    <d v="2026-02-26T00:00:00"/>
    <s v="B"/>
    <s v=""/>
    <s v="YNBP"/>
    <s v="FR01"/>
    <s v="A01"/>
    <s v="F000"/>
    <s v="F000"/>
    <s v="ES02AB005"/>
    <s v="30"/>
    <s v="TU"/>
    <s v="1"/>
    <s v="PC"/>
    <n v="28.8"/>
    <n v="460.8"/>
    <s v="EUR"/>
    <d v="2026-06-29T00:00:00"/>
    <d v="2026-07-03T00:00:00"/>
    <d v="2026-02-27T00:00:00"/>
    <s v=""/>
    <s v=""/>
    <s v="6000"/>
  </r>
  <r>
    <s v="26H"/>
    <s v="H2"/>
    <s v=""/>
    <s v="Douanes USA"/>
    <x v="1"/>
    <s v="02"/>
    <s v="PUNTOTRES BAGS &amp; BELTS, s.l."/>
    <x v="12"/>
    <x v="14"/>
    <x v="9"/>
    <x v="2"/>
    <n v="66.5"/>
    <n v="13"/>
    <x v="4"/>
    <x v="12"/>
    <d v="2026-06-29T00:00:00"/>
    <s v="ICAPDEVILLE"/>
    <s v=""/>
    <s v="1"/>
    <d v="2026-02-26T00:00:00"/>
    <s v="B"/>
    <s v=""/>
    <s v="YNBP"/>
    <s v="FR01"/>
    <s v="A01"/>
    <s v="F000"/>
    <s v="F000"/>
    <s v="ES02AB005"/>
    <s v="40"/>
    <s v="TU"/>
    <s v="1"/>
    <s v="PC"/>
    <n v="66.5"/>
    <n v="864.5"/>
    <s v="EUR"/>
    <d v="2026-06-29T00:00:00"/>
    <d v="2026-07-03T00:00:00"/>
    <d v="2026-02-26T00:00:00"/>
    <s v=""/>
    <s v=""/>
    <s v="6000"/>
  </r>
  <r>
    <s v="26H"/>
    <s v="H2"/>
    <s v=""/>
    <s v="Douanes USA"/>
    <x v="1"/>
    <s v="02"/>
    <s v="PUNTOTRES BAGS &amp; BELTS, s.l."/>
    <x v="13"/>
    <x v="15"/>
    <x v="9"/>
    <x v="2"/>
    <n v="66.5"/>
    <n v="30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6.5"/>
    <n v="1995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4"/>
    <x v="16"/>
    <x v="10"/>
    <x v="6"/>
    <n v="79"/>
    <n v="16"/>
    <x v="8"/>
    <x v="2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79"/>
    <n v="1264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5"/>
    <x v="5"/>
    <x v="5"/>
    <x v="3"/>
    <n v="22.3"/>
    <n v="10"/>
    <x v="3"/>
    <x v="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0"/>
    <s v="4"/>
    <s v="PC"/>
    <n v="22.3"/>
    <n v="223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5"/>
    <x v="5"/>
    <x v="5"/>
    <x v="3"/>
    <n v="22.3"/>
    <n v="10"/>
    <x v="3"/>
    <x v="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3"/>
    <s v="PC"/>
    <n v="22.3"/>
    <n v="223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5"/>
    <x v="5"/>
    <x v="5"/>
    <x v="3"/>
    <n v="22.3"/>
    <n v="10"/>
    <x v="3"/>
    <x v="1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0"/>
    <s v="2"/>
    <s v="PC"/>
    <n v="22.3"/>
    <n v="223"/>
    <s v="EUR"/>
    <d v="2026-02-26T00:00:00"/>
    <d v="2026-03-04T00:00:00"/>
    <d v="2026-02-26T00:00:00"/>
    <s v=""/>
    <s v=""/>
    <s v="6000"/>
  </r>
  <r>
    <s v="26H"/>
    <s v="H2"/>
    <s v=""/>
    <s v="Douanes USA"/>
    <x v="1"/>
    <s v="02"/>
    <s v="PUNTOTRES BAGS &amp; BELTS, s.l."/>
    <x v="15"/>
    <x v="5"/>
    <x v="5"/>
    <x v="3"/>
    <n v="22.3"/>
    <n v="10"/>
    <x v="3"/>
    <x v="11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75"/>
    <s v="1"/>
    <s v="PC"/>
    <n v="22.3"/>
    <n v="223"/>
    <s v="EUR"/>
    <d v="2026-02-26T00:00:00"/>
    <d v="2026-03-04T00:00:00"/>
    <d v="2026-02-26T00:00:00"/>
    <s v=""/>
    <s v=""/>
    <s v="6000"/>
  </r>
  <r>
    <s v="26H"/>
    <s v="H2"/>
    <s v=""/>
    <s v="Douanes USA"/>
    <x v="1"/>
    <s v="09"/>
    <s v="PUNTOTRES BAGS &amp; BELTS, s.l."/>
    <x v="16"/>
    <x v="17"/>
    <x v="7"/>
    <x v="4"/>
    <n v="41.5"/>
    <n v="1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41.5"/>
    <n v="41.5"/>
    <s v="EUR"/>
    <d v="2026-02-26T00:00:00"/>
    <d v="2026-03-04T00:00:00"/>
    <d v="2026-02-26T00:00:00"/>
    <s v=""/>
    <s v=""/>
    <s v="6000"/>
  </r>
  <r>
    <s v="26H"/>
    <s v="H2"/>
    <s v=""/>
    <s v="Douanes USA"/>
    <x v="1"/>
    <s v="09"/>
    <s v="PUNTOTRES BAGS &amp; BELTS, s.l."/>
    <x v="17"/>
    <x v="18"/>
    <x v="8"/>
    <x v="5"/>
    <n v="28.8"/>
    <n v="3"/>
    <x v="4"/>
    <x v="12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28.8"/>
    <n v="86.4"/>
    <s v="EUR"/>
    <d v="2026-02-26T00:00:00"/>
    <d v="2026-03-04T00:00:00"/>
    <d v="2026-02-26T00:00:00"/>
    <s v=""/>
    <s v=""/>
    <s v="6000"/>
  </r>
  <r>
    <s v="26H"/>
    <s v="H2"/>
    <s v=""/>
    <s v="Douanes USA"/>
    <x v="1"/>
    <s v="09"/>
    <s v="PUNTOTRES BAGS &amp; BELTS, s.l."/>
    <x v="18"/>
    <x v="11"/>
    <x v="6"/>
    <x v="1"/>
    <n v="67.8"/>
    <n v="326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7.8"/>
    <n v="22102.799999999999"/>
    <s v="EUR"/>
    <d v="2026-02-26T00:00:00"/>
    <d v="2026-03-04T00:00:00"/>
    <d v="2026-02-26T00:00:00"/>
    <s v=""/>
    <s v=""/>
    <s v="6000"/>
  </r>
  <r>
    <s v="26H"/>
    <s v="H2"/>
    <s v=""/>
    <s v="Douanes USA"/>
    <x v="1"/>
    <s v="09"/>
    <s v="PUNTOTRES BAGS &amp; BELTS, s.l."/>
    <x v="19"/>
    <x v="19"/>
    <x v="11"/>
    <x v="5"/>
    <n v="1"/>
    <n v="3"/>
    <x v="2"/>
    <x v="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1"/>
    <n v="3"/>
    <s v="EUR"/>
    <d v="2026-02-26T00:00:00"/>
    <d v="2026-03-04T00:00:00"/>
    <d v="2026-02-26T00:00:00"/>
    <s v=""/>
    <s v=""/>
    <s v="6000"/>
  </r>
  <r>
    <s v="26H"/>
    <s v="H2"/>
    <s v=""/>
    <s v="Douanes USA"/>
    <x v="1"/>
    <s v="09"/>
    <s v="PUNTOTRES BAGS &amp; BELTS, s.l."/>
    <x v="20"/>
    <x v="1"/>
    <x v="1"/>
    <x v="1"/>
    <n v="85"/>
    <n v="1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5"/>
    <n v="85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1"/>
    <x v="10"/>
    <x v="7"/>
    <x v="4"/>
    <n v="41.5"/>
    <n v="30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41.5"/>
    <n v="1245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2"/>
    <x v="18"/>
    <x v="8"/>
    <x v="5"/>
    <n v="28.8"/>
    <n v="45"/>
    <x v="4"/>
    <x v="12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28.8"/>
    <n v="1296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3"/>
    <x v="7"/>
    <x v="6"/>
    <x v="1"/>
    <n v="67.8"/>
    <n v="40"/>
    <x v="4"/>
    <x v="12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7.8"/>
    <n v="2712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4"/>
    <x v="20"/>
    <x v="9"/>
    <x v="2"/>
    <n v="66.5"/>
    <n v="1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66.5"/>
    <n v="66.5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4"/>
    <x v="15"/>
    <x v="9"/>
    <x v="2"/>
    <n v="66.5"/>
    <n v="20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6.5"/>
    <n v="1330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5"/>
    <x v="21"/>
    <x v="10"/>
    <x v="6"/>
    <n v="79"/>
    <n v="1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79"/>
    <n v="79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5"/>
    <x v="16"/>
    <x v="10"/>
    <x v="6"/>
    <n v="79"/>
    <n v="1"/>
    <x v="8"/>
    <x v="2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79"/>
    <n v="79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6"/>
    <x v="19"/>
    <x v="11"/>
    <x v="5"/>
    <n v="1"/>
    <n v="40"/>
    <x v="2"/>
    <x v="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1"/>
    <n v="40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7"/>
    <x v="1"/>
    <x v="1"/>
    <x v="1"/>
    <n v="85"/>
    <n v="11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5"/>
    <n v="935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8"/>
    <x v="3"/>
    <x v="3"/>
    <x v="2"/>
    <n v="89.5"/>
    <n v="35"/>
    <x v="2"/>
    <x v="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9.5"/>
    <n v="3132.5"/>
    <s v="EUR"/>
    <d v="2026-02-26T00:00:00"/>
    <d v="2026-03-04T00:00:00"/>
    <d v="2026-02-26T00:00:00"/>
    <s v=""/>
    <s v=""/>
    <s v="6000"/>
  </r>
  <r>
    <s v="26H"/>
    <s v="H2"/>
    <s v=""/>
    <s v="Japan"/>
    <x v="2"/>
    <s v="03"/>
    <s v="PUNTOTRES BAGS &amp; BELTS, s.l."/>
    <x v="29"/>
    <x v="22"/>
    <x v="12"/>
    <x v="7"/>
    <n v="1"/>
    <n v="2"/>
    <x v="2"/>
    <x v="4"/>
    <d v="2026-02-27T00:00:00"/>
    <s v="ICAPDEVILLE"/>
    <s v=""/>
    <s v="1"/>
    <d v="2026-02-27T00:00:00"/>
    <s v="B"/>
    <s v=""/>
    <s v="YNBP"/>
    <s v="FR01"/>
    <s v="A01"/>
    <s v="F000"/>
    <s v="F000"/>
    <s v="ES02AB005"/>
    <s v="10"/>
    <s v="TU"/>
    <s v="1"/>
    <s v="PC"/>
    <n v="1"/>
    <n v="2"/>
    <s v="EUR"/>
    <d v="2026-02-27T00:00:00"/>
    <d v="2026-03-05T00:00:00"/>
    <d v="2026-02-27T00:00:00"/>
    <s v=""/>
    <s v=""/>
    <s v="6000"/>
  </r>
  <r>
    <s v="26H"/>
    <s v="H2"/>
    <s v=""/>
    <s v="Korea"/>
    <x v="3"/>
    <s v="04"/>
    <s v="PUNTOTRES BAGS &amp; BELTS, s.l."/>
    <x v="30"/>
    <x v="4"/>
    <x v="4"/>
    <x v="3"/>
    <n v="22.4"/>
    <n v="15"/>
    <x v="0"/>
    <x v="5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1"/>
    <s v="PC"/>
    <n v="22.4"/>
    <n v="336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0"/>
    <x v="4"/>
    <x v="4"/>
    <x v="3"/>
    <n v="22.4"/>
    <n v="15"/>
    <x v="0"/>
    <x v="6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0"/>
    <s v="2"/>
    <s v="PC"/>
    <n v="22.4"/>
    <n v="336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1"/>
    <x v="11"/>
    <x v="6"/>
    <x v="1"/>
    <n v="67.8"/>
    <n v="30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67.8"/>
    <n v="2034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1"/>
    <x v="6"/>
    <x v="6"/>
    <x v="1"/>
    <n v="67.8"/>
    <n v="40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7.8"/>
    <n v="2712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2"/>
    <x v="23"/>
    <x v="9"/>
    <x v="2"/>
    <n v="66.5"/>
    <n v="40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6.5"/>
    <n v="2660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3"/>
    <x v="1"/>
    <x v="1"/>
    <x v="1"/>
    <n v="85"/>
    <n v="40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5"/>
    <n v="3400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4"/>
    <x v="2"/>
    <x v="2"/>
    <x v="2"/>
    <n v="89.5"/>
    <n v="40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9.5"/>
    <n v="3580"/>
    <s v="EUR"/>
    <d v="2026-02-26T00:00:00"/>
    <d v="2026-03-04T00:00:00"/>
    <d v="2026-02-26T00:00:00"/>
    <s v=""/>
    <s v=""/>
    <s v="6000"/>
  </r>
  <r>
    <s v="26H"/>
    <s v="H2"/>
    <s v=""/>
    <s v="Korea"/>
    <x v="3"/>
    <s v="04"/>
    <s v="PUNTOTRES BAGS &amp; BELTS, s.l."/>
    <x v="35"/>
    <x v="24"/>
    <x v="12"/>
    <x v="7"/>
    <n v="1"/>
    <n v="35"/>
    <x v="1"/>
    <x v="3"/>
    <d v="2026-02-27T00:00:00"/>
    <s v="ICAPDEVILLE"/>
    <s v=""/>
    <s v="1"/>
    <d v="2026-02-27T00:00:00"/>
    <s v="B"/>
    <s v=""/>
    <s v="YNBP"/>
    <s v="FR01"/>
    <s v="A01"/>
    <s v="F000"/>
    <s v="F000"/>
    <s v="ES02AB005"/>
    <s v="10"/>
    <s v="TU"/>
    <s v="1"/>
    <s v="PC"/>
    <n v="1"/>
    <n v="35"/>
    <s v="EUR"/>
    <d v="2026-02-27T00:00:00"/>
    <d v="2026-03-05T00:00:00"/>
    <d v="2026-02-27T00:00:00"/>
    <s v=""/>
    <s v=""/>
    <s v="6000"/>
  </r>
  <r>
    <s v="26H"/>
    <s v="H2"/>
    <s v=""/>
    <s v="Korea"/>
    <x v="3"/>
    <s v="04"/>
    <s v="PUNTOTRES BAGS &amp; BELTS, s.l."/>
    <x v="35"/>
    <x v="22"/>
    <x v="12"/>
    <x v="7"/>
    <n v="1"/>
    <n v="35"/>
    <x v="2"/>
    <x v="4"/>
    <d v="2026-02-27T00:00:00"/>
    <s v="ICAPDEVILLE"/>
    <s v=""/>
    <s v="1"/>
    <d v="2026-02-27T00:00:00"/>
    <s v="B"/>
    <s v=""/>
    <s v="YNBP"/>
    <s v="FR01"/>
    <s v="A01"/>
    <s v="F000"/>
    <s v="F000"/>
    <s v="ES02AB005"/>
    <s v="10"/>
    <s v="TU"/>
    <s v="2"/>
    <s v="PC"/>
    <n v="1"/>
    <n v="35"/>
    <s v="EUR"/>
    <d v="2026-02-27T00:00:00"/>
    <d v="2026-03-05T00:00:00"/>
    <d v="2026-02-27T00:00:00"/>
    <s v=""/>
    <s v=""/>
    <s v="6000"/>
  </r>
  <r>
    <s v="26H"/>
    <s v="H2"/>
    <s v=""/>
    <s v="Retail"/>
    <x v="4"/>
    <s v=""/>
    <s v="PUNTOTRES BAGS &amp; BELTS, s.l."/>
    <x v="36"/>
    <x v="10"/>
    <x v="7"/>
    <x v="4"/>
    <n v="41.5"/>
    <n v="1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41.5"/>
    <n v="41.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37"/>
    <x v="10"/>
    <x v="7"/>
    <x v="4"/>
    <n v="41.5"/>
    <n v="63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41.5"/>
    <n v="2614.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38"/>
    <x v="6"/>
    <x v="6"/>
    <x v="1"/>
    <n v="67.8"/>
    <n v="48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7.8"/>
    <n v="3254.4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39"/>
    <x v="14"/>
    <x v="9"/>
    <x v="2"/>
    <n v="66.5"/>
    <n v="41"/>
    <x v="4"/>
    <x v="12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6.5"/>
    <n v="2726.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39"/>
    <x v="25"/>
    <x v="9"/>
    <x v="2"/>
    <n v="66.5"/>
    <n v="23"/>
    <x v="5"/>
    <x v="1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66.5"/>
    <n v="1529.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39"/>
    <x v="12"/>
    <x v="7"/>
    <x v="4"/>
    <n v="41.5"/>
    <n v="20"/>
    <x v="1"/>
    <x v="3"/>
    <d v="2026-06-29T00:00:00"/>
    <s v="ICAPDEVILLE"/>
    <s v=""/>
    <s v="1"/>
    <d v="2026-02-26T00:00:00"/>
    <s v="B"/>
    <s v=""/>
    <s v="YNBP"/>
    <s v="FR01"/>
    <s v="A01"/>
    <s v="F000"/>
    <s v="F000"/>
    <s v="ES02AB005"/>
    <s v="20"/>
    <s v="TU"/>
    <s v="1"/>
    <s v="PC"/>
    <n v="41.5"/>
    <n v="830"/>
    <s v="EUR"/>
    <d v="2026-06-29T00:00:00"/>
    <d v="2026-07-03T00:00:00"/>
    <d v="2026-02-27T00:00:00"/>
    <s v=""/>
    <s v=""/>
    <s v="6000"/>
  </r>
  <r>
    <s v="26H"/>
    <s v="H2"/>
    <s v=""/>
    <s v="Retail"/>
    <x v="4"/>
    <s v=""/>
    <s v="PUNTOTRES BAGS &amp; BELTS, s.l."/>
    <x v="39"/>
    <x v="13"/>
    <x v="8"/>
    <x v="5"/>
    <n v="28.8"/>
    <n v="30"/>
    <x v="0"/>
    <x v="19"/>
    <d v="2026-06-29T00:00:00"/>
    <s v="ICAPDEVILLE"/>
    <s v=""/>
    <s v="1"/>
    <d v="2026-02-26T00:00:00"/>
    <s v="B"/>
    <s v=""/>
    <s v="YNBP"/>
    <s v="FR01"/>
    <s v="A01"/>
    <s v="F000"/>
    <s v="F000"/>
    <s v="ES02AB005"/>
    <s v="30"/>
    <s v="TU"/>
    <s v="1"/>
    <s v="PC"/>
    <n v="28.8"/>
    <n v="864"/>
    <s v="EUR"/>
    <d v="2026-06-29T00:00:00"/>
    <d v="2026-07-03T00:00:00"/>
    <d v="2026-02-27T00:00:00"/>
    <s v=""/>
    <s v=""/>
    <s v="6000"/>
  </r>
  <r>
    <s v="26H"/>
    <s v="H2"/>
    <s v=""/>
    <s v="Retail"/>
    <x v="4"/>
    <s v=""/>
    <s v="PUNTOTRES BAGS &amp; BELTS, s.l."/>
    <x v="40"/>
    <x v="15"/>
    <x v="9"/>
    <x v="2"/>
    <n v="66.5"/>
    <n v="92"/>
    <x v="7"/>
    <x v="1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66.5"/>
    <n v="6118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1"/>
    <x v="26"/>
    <x v="13"/>
    <x v="8"/>
    <n v="108"/>
    <n v="1"/>
    <x v="0"/>
    <x v="1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2"/>
    <s v="PC"/>
    <n v="108"/>
    <n v="108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1"/>
    <x v="27"/>
    <x v="13"/>
    <x v="8"/>
    <n v="108"/>
    <n v="28"/>
    <x v="8"/>
    <x v="2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108"/>
    <n v="3024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2"/>
    <x v="16"/>
    <x v="10"/>
    <x v="6"/>
    <n v="79"/>
    <n v="2"/>
    <x v="8"/>
    <x v="2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79"/>
    <n v="158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3"/>
    <x v="16"/>
    <x v="10"/>
    <x v="6"/>
    <n v="79"/>
    <n v="65"/>
    <x v="8"/>
    <x v="2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79"/>
    <n v="513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4"/>
    <x v="5"/>
    <x v="5"/>
    <x v="3"/>
    <n v="22.3"/>
    <n v="32"/>
    <x v="3"/>
    <x v="8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90"/>
    <s v="1"/>
    <s v="PC"/>
    <n v="22.3"/>
    <n v="713.6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4"/>
    <x v="5"/>
    <x v="5"/>
    <x v="3"/>
    <n v="22.3"/>
    <n v="32"/>
    <x v="3"/>
    <x v="9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5"/>
    <s v="2"/>
    <s v="PC"/>
    <n v="22.3"/>
    <n v="713.6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4"/>
    <x v="5"/>
    <x v="5"/>
    <x v="3"/>
    <n v="22.3"/>
    <n v="32"/>
    <x v="3"/>
    <x v="10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80"/>
    <s v="3"/>
    <s v="PC"/>
    <n v="22.3"/>
    <n v="713.6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4"/>
    <x v="5"/>
    <x v="5"/>
    <x v="3"/>
    <n v="22.3"/>
    <n v="32"/>
    <x v="3"/>
    <x v="11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75"/>
    <s v="4"/>
    <s v="PC"/>
    <n v="22.3"/>
    <n v="713.6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5"/>
    <x v="2"/>
    <x v="2"/>
    <x v="2"/>
    <n v="89.5"/>
    <n v="1"/>
    <x v="1"/>
    <x v="3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9.5"/>
    <n v="89.5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6"/>
    <x v="28"/>
    <x v="14"/>
    <x v="9"/>
    <n v="1"/>
    <n v="2"/>
    <x v="2"/>
    <x v="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1"/>
    <n v="2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7"/>
    <x v="3"/>
    <x v="3"/>
    <x v="2"/>
    <n v="89.5"/>
    <n v="2"/>
    <x v="2"/>
    <x v="4"/>
    <d v="2026-02-26T00:00:00"/>
    <s v="ICAPDEVILLE"/>
    <s v=""/>
    <s v="1"/>
    <d v="2026-02-26T00:00:00"/>
    <s v="B"/>
    <s v=""/>
    <s v="YNBP"/>
    <s v="FR01"/>
    <s v="A01"/>
    <s v="F000"/>
    <s v="F000"/>
    <s v="ES02AB005"/>
    <s v="10"/>
    <s v="TU"/>
    <s v="1"/>
    <s v="PC"/>
    <n v="89.5"/>
    <n v="179"/>
    <s v="EUR"/>
    <d v="2026-02-26T00:00:00"/>
    <d v="2026-03-04T00:00:00"/>
    <d v="2026-02-26T00:00:00"/>
    <s v=""/>
    <s v=""/>
    <s v="6000"/>
  </r>
  <r>
    <s v="26H"/>
    <s v="H2"/>
    <s v=""/>
    <s v="Retail"/>
    <x v="4"/>
    <s v=""/>
    <s v="PUNTOTRES BAGS &amp; BELTS, s.l."/>
    <x v="48"/>
    <x v="22"/>
    <x v="12"/>
    <x v="7"/>
    <n v="1"/>
    <n v="3"/>
    <x v="2"/>
    <x v="4"/>
    <d v="2026-02-27T00:00:00"/>
    <s v="ICAPDEVILLE"/>
    <s v=""/>
    <s v="1"/>
    <d v="2026-02-27T00:00:00"/>
    <s v="B"/>
    <s v=""/>
    <s v="YNBP"/>
    <s v="FR01"/>
    <s v="A01"/>
    <s v="F000"/>
    <s v="F000"/>
    <s v="ES02AB005"/>
    <s v="10"/>
    <s v="TU"/>
    <s v="1"/>
    <s v="PC"/>
    <n v="1"/>
    <n v="3"/>
    <s v="EUR"/>
    <d v="2026-02-27T00:00:00"/>
    <d v="2026-03-05T00:00:00"/>
    <d v="2026-02-27T00:00:00"/>
    <s v=""/>
    <s v=""/>
    <s v="6000"/>
  </r>
  <r>
    <s v="26H"/>
    <s v="H2"/>
    <s v=""/>
    <s v="Wholesale"/>
    <x v="0"/>
    <s v="07"/>
    <s v="PUNTOTRES BAGS &amp; BELTS, s.l."/>
    <x v="49"/>
    <x v="4"/>
    <x v="4"/>
    <x v="3"/>
    <n v="22.4"/>
    <n v="5"/>
    <x v="0"/>
    <x v="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1"/>
    <s v="PC"/>
    <n v="22.4"/>
    <n v="112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49"/>
    <x v="4"/>
    <x v="4"/>
    <x v="3"/>
    <n v="22.4"/>
    <n v="11"/>
    <x v="0"/>
    <x v="5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5"/>
    <s v="2"/>
    <s v="PC"/>
    <n v="22.4"/>
    <n v="246.4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49"/>
    <x v="4"/>
    <x v="4"/>
    <x v="3"/>
    <n v="22.4"/>
    <n v="14"/>
    <x v="0"/>
    <x v="6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0"/>
    <s v="3"/>
    <s v="PC"/>
    <n v="22.4"/>
    <n v="313.60000000000002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49"/>
    <x v="4"/>
    <x v="4"/>
    <x v="3"/>
    <n v="22.4"/>
    <n v="7"/>
    <x v="0"/>
    <x v="7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75"/>
    <s v="4"/>
    <s v="PC"/>
    <n v="22.4"/>
    <n v="156.80000000000001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0"/>
    <x v="0"/>
    <x v="0"/>
    <n v="31.5"/>
    <n v="17"/>
    <x v="0"/>
    <x v="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5"/>
    <s v="2"/>
    <s v="PC"/>
    <n v="31.5"/>
    <n v="535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9"/>
    <x v="0"/>
    <x v="0"/>
    <n v="31.5"/>
    <n v="6"/>
    <x v="6"/>
    <x v="1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5"/>
    <s v="5"/>
    <s v="PC"/>
    <n v="31.5"/>
    <n v="189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0"/>
    <x v="0"/>
    <x v="0"/>
    <n v="31.5"/>
    <n v="17"/>
    <x v="0"/>
    <x v="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1"/>
    <s v="PC"/>
    <n v="31.5"/>
    <n v="535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9"/>
    <x v="0"/>
    <x v="0"/>
    <n v="31.5"/>
    <n v="3"/>
    <x v="6"/>
    <x v="15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6"/>
    <s v="PC"/>
    <n v="31.5"/>
    <n v="94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0"/>
    <x v="0"/>
    <x v="0"/>
    <n v="31.5"/>
    <n v="4"/>
    <x v="0"/>
    <x v="5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5"/>
    <s v="3"/>
    <s v="PC"/>
    <n v="31.5"/>
    <n v="126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0"/>
    <x v="0"/>
    <x v="0"/>
    <n v="31.5"/>
    <n v="6"/>
    <x v="0"/>
    <x v="2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100"/>
    <s v="4"/>
    <s v="PC"/>
    <n v="31.5"/>
    <n v="189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0"/>
    <x v="9"/>
    <x v="0"/>
    <x v="0"/>
    <n v="31.5"/>
    <n v="3"/>
    <x v="6"/>
    <x v="17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100"/>
    <s v="7"/>
    <s v="PC"/>
    <n v="31.5"/>
    <n v="94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1"/>
    <x v="17"/>
    <x v="7"/>
    <x v="4"/>
    <n v="41.5"/>
    <n v="71"/>
    <x v="0"/>
    <x v="1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3"/>
    <s v="PC"/>
    <n v="41.5"/>
    <n v="2946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1"/>
    <x v="12"/>
    <x v="7"/>
    <x v="4"/>
    <n v="41.5"/>
    <n v="21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41.5"/>
    <n v="871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1"/>
    <x v="10"/>
    <x v="7"/>
    <x v="4"/>
    <n v="41.5"/>
    <n v="51"/>
    <x v="7"/>
    <x v="18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41.5"/>
    <n v="2116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2"/>
    <x v="13"/>
    <x v="8"/>
    <x v="5"/>
    <n v="28.8"/>
    <n v="4"/>
    <x v="0"/>
    <x v="1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28.8"/>
    <n v="115.2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2"/>
    <x v="18"/>
    <x v="8"/>
    <x v="5"/>
    <n v="28.8"/>
    <n v="1"/>
    <x v="4"/>
    <x v="12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28.8"/>
    <n v="28.8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3"/>
    <x v="20"/>
    <x v="9"/>
    <x v="2"/>
    <n v="66.5"/>
    <n v="76"/>
    <x v="0"/>
    <x v="1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4"/>
    <s v="PC"/>
    <n v="66.5"/>
    <n v="5054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3"/>
    <x v="23"/>
    <x v="9"/>
    <x v="2"/>
    <n v="66.5"/>
    <n v="13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3"/>
    <s v="PC"/>
    <n v="66.5"/>
    <n v="864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3"/>
    <x v="14"/>
    <x v="9"/>
    <x v="2"/>
    <n v="66.5"/>
    <n v="15"/>
    <x v="4"/>
    <x v="12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5"/>
    <s v="PC"/>
    <n v="66.5"/>
    <n v="997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3"/>
    <x v="15"/>
    <x v="9"/>
    <x v="2"/>
    <n v="66.5"/>
    <n v="66"/>
    <x v="7"/>
    <x v="18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66.5"/>
    <n v="4389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3"/>
    <x v="25"/>
    <x v="9"/>
    <x v="2"/>
    <n v="66.5"/>
    <n v="42"/>
    <x v="5"/>
    <x v="1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66.5"/>
    <n v="2793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4"/>
    <x v="26"/>
    <x v="13"/>
    <x v="8"/>
    <n v="108"/>
    <n v="42"/>
    <x v="0"/>
    <x v="1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108"/>
    <n v="4536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4"/>
    <x v="27"/>
    <x v="13"/>
    <x v="8"/>
    <n v="108"/>
    <n v="22"/>
    <x v="8"/>
    <x v="2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108"/>
    <n v="2376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5"/>
    <x v="21"/>
    <x v="10"/>
    <x v="6"/>
    <n v="79"/>
    <n v="83"/>
    <x v="0"/>
    <x v="1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79"/>
    <n v="6557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5"/>
    <x v="16"/>
    <x v="10"/>
    <x v="6"/>
    <n v="79"/>
    <n v="114"/>
    <x v="8"/>
    <x v="2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79"/>
    <n v="9006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6"/>
    <x v="5"/>
    <x v="5"/>
    <x v="3"/>
    <n v="20.9"/>
    <n v="3"/>
    <x v="3"/>
    <x v="8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90"/>
    <s v="4"/>
    <s v="PC"/>
    <n v="20.9"/>
    <n v="62.7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6"/>
    <x v="5"/>
    <x v="5"/>
    <x v="3"/>
    <n v="20.9"/>
    <n v="9"/>
    <x v="3"/>
    <x v="9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5"/>
    <s v="3"/>
    <s v="PC"/>
    <n v="20.9"/>
    <n v="188.1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6"/>
    <x v="5"/>
    <x v="5"/>
    <x v="3"/>
    <n v="20.9"/>
    <n v="11"/>
    <x v="3"/>
    <x v="10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80"/>
    <s v="2"/>
    <s v="PC"/>
    <n v="20.9"/>
    <n v="229.9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6"/>
    <x v="5"/>
    <x v="5"/>
    <x v="3"/>
    <n v="20.9"/>
    <n v="7"/>
    <x v="3"/>
    <x v="11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75"/>
    <s v="1"/>
    <s v="PC"/>
    <n v="20.9"/>
    <n v="146.30000000000001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7"/>
    <x v="29"/>
    <x v="15"/>
    <x v="9"/>
    <n v="85"/>
    <n v="52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5"/>
    <n v="4420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8"/>
    <x v="19"/>
    <x v="11"/>
    <x v="5"/>
    <n v="1"/>
    <n v="10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1"/>
    <n v="10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9"/>
    <x v="1"/>
    <x v="1"/>
    <x v="1"/>
    <n v="85"/>
    <n v="82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5"/>
    <n v="6970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59"/>
    <x v="30"/>
    <x v="1"/>
    <x v="1"/>
    <n v="85"/>
    <n v="77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2"/>
    <s v="PC"/>
    <n v="85"/>
    <n v="654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60"/>
    <x v="2"/>
    <x v="2"/>
    <x v="2"/>
    <n v="89.5"/>
    <n v="86"/>
    <x v="1"/>
    <x v="3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7697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61"/>
    <x v="28"/>
    <x v="14"/>
    <x v="9"/>
    <n v="1"/>
    <n v="59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1"/>
    <n v="59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62"/>
    <x v="3"/>
    <x v="3"/>
    <x v="2"/>
    <n v="89.5"/>
    <n v="119"/>
    <x v="2"/>
    <x v="4"/>
    <d v="2026-02-26T00:00:00"/>
    <s v="ICAPDEVILLE"/>
    <s v=""/>
    <s v="1"/>
    <d v="2026-02-26T00:00:00"/>
    <s v="B"/>
    <s v=""/>
    <s v="YNBP"/>
    <s v="FR01"/>
    <s v="A01"/>
    <s v="F003"/>
    <s v="F003"/>
    <s v="ES02AB005"/>
    <s v="10"/>
    <s v="TU"/>
    <s v="1"/>
    <s v="PC"/>
    <n v="89.5"/>
    <n v="10650.5"/>
    <s v="EUR"/>
    <d v="2026-02-26T00:00:00"/>
    <d v="2026-03-03T00:00:00"/>
    <d v="2026-02-26T00:00:00"/>
    <s v=""/>
    <s v=""/>
    <s v="6000"/>
  </r>
  <r>
    <s v="26H"/>
    <s v="H2"/>
    <s v=""/>
    <s v="Wholesale"/>
    <x v="0"/>
    <s v="07"/>
    <s v="PUNTOTRES BAGS &amp; BELTS, s.l."/>
    <x v="63"/>
    <x v="11"/>
    <x v="6"/>
    <x v="1"/>
    <n v="67.8"/>
    <n v="187"/>
    <x v="0"/>
    <x v="19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1"/>
    <s v="PC"/>
    <n v="67.8"/>
    <n v="12678.6"/>
    <s v="EUR"/>
    <d v="2026-02-27T00:00:00"/>
    <d v="2026-03-04T00:00:00"/>
    <d v="2026-02-27T00:00:00"/>
    <s v=""/>
    <s v=""/>
    <s v="6000"/>
  </r>
  <r>
    <s v="26H"/>
    <s v="H2"/>
    <s v=""/>
    <s v="Wholesale"/>
    <x v="0"/>
    <s v="07"/>
    <s v="PUNTOTRES BAGS &amp; BELTS, s.l."/>
    <x v="63"/>
    <x v="6"/>
    <x v="6"/>
    <x v="1"/>
    <n v="67.8"/>
    <n v="76"/>
    <x v="1"/>
    <x v="3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4"/>
    <s v="PC"/>
    <n v="67.8"/>
    <n v="5152.8"/>
    <s v="EUR"/>
    <d v="2026-02-27T00:00:00"/>
    <d v="2026-03-04T00:00:00"/>
    <d v="2026-02-27T00:00:00"/>
    <s v=""/>
    <s v=""/>
    <s v="6000"/>
  </r>
  <r>
    <s v="26H"/>
    <s v="H2"/>
    <s v=""/>
    <s v="Wholesale"/>
    <x v="0"/>
    <s v="07"/>
    <s v="PUNTOTRES BAGS &amp; BELTS, s.l."/>
    <x v="63"/>
    <x v="7"/>
    <x v="6"/>
    <x v="1"/>
    <n v="67.8"/>
    <n v="61"/>
    <x v="4"/>
    <x v="12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3"/>
    <s v="PC"/>
    <n v="67.8"/>
    <n v="4135.8"/>
    <s v="EUR"/>
    <d v="2026-02-27T00:00:00"/>
    <d v="2026-03-04T00:00:00"/>
    <d v="2026-02-27T00:00:00"/>
    <s v=""/>
    <s v=""/>
    <s v="6000"/>
  </r>
  <r>
    <s v="26H"/>
    <s v="H2"/>
    <s v=""/>
    <s v="Wholesale"/>
    <x v="0"/>
    <s v="07"/>
    <s v="PUNTOTRES BAGS &amp; BELTS, s.l."/>
    <x v="63"/>
    <x v="8"/>
    <x v="6"/>
    <x v="1"/>
    <n v="67.8"/>
    <n v="87"/>
    <x v="5"/>
    <x v="13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2"/>
    <s v="PC"/>
    <n v="67.8"/>
    <n v="5898.6"/>
    <s v="EUR"/>
    <d v="2026-02-27T00:00:00"/>
    <d v="2026-03-04T00:00:00"/>
    <d v="2026-02-27T00:00:00"/>
    <s v=""/>
    <s v=""/>
    <s v="6000"/>
  </r>
  <r>
    <s v="26H"/>
    <s v="H2"/>
    <s v=""/>
    <s v="Wholesale"/>
    <x v="0"/>
    <s v="07"/>
    <s v="PUNTOTRES BAGS &amp; BELTS, s.l."/>
    <x v="64"/>
    <x v="24"/>
    <x v="12"/>
    <x v="7"/>
    <n v="1"/>
    <n v="79"/>
    <x v="1"/>
    <x v="3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2"/>
    <s v="PC"/>
    <n v="1"/>
    <n v="79"/>
    <s v="EUR"/>
    <d v="2026-02-27T00:00:00"/>
    <d v="2026-03-04T00:00:00"/>
    <d v="2026-02-27T00:00:00"/>
    <s v=""/>
    <s v=""/>
    <s v="6000"/>
  </r>
  <r>
    <s v="26H"/>
    <s v="H2"/>
    <s v=""/>
    <s v="Wholesale"/>
    <x v="0"/>
    <s v="07"/>
    <s v="PUNTOTRES BAGS &amp; BELTS, s.l."/>
    <x v="64"/>
    <x v="22"/>
    <x v="12"/>
    <x v="7"/>
    <n v="1"/>
    <n v="103"/>
    <x v="2"/>
    <x v="4"/>
    <d v="2026-02-27T00:00:00"/>
    <s v="ICAPDEVILLE"/>
    <s v=""/>
    <s v="1"/>
    <d v="2026-02-27T00:00:00"/>
    <s v="B"/>
    <s v=""/>
    <s v="YNBP"/>
    <s v="FR01"/>
    <s v="A01"/>
    <s v="F003"/>
    <s v="F003"/>
    <s v="ES02AB005"/>
    <s v="10"/>
    <s v="TU"/>
    <s v="1"/>
    <s v="PC"/>
    <n v="1"/>
    <n v="103"/>
    <s v="EUR"/>
    <d v="2026-02-27T00:00:00"/>
    <d v="2026-03-04T00:00:00"/>
    <d v="2026-02-27T00:00:00"/>
    <s v=""/>
    <s v=""/>
    <s v="6000"/>
  </r>
  <r>
    <m/>
    <m/>
    <m/>
    <m/>
    <x v="5"/>
    <m/>
    <m/>
    <x v="65"/>
    <x v="31"/>
    <x v="16"/>
    <x v="10"/>
    <m/>
    <m/>
    <x v="9"/>
    <x v="2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33E194-0E64-4EB4-BE1D-95867FFB366C}" name="Tableau croisé dynamique2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G182" firstHeaderRow="1" firstDataRow="1" firstDataCol="6"/>
  <pivotFields count="41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2"/>
        <item x="3"/>
        <item x="4"/>
        <item x="1"/>
        <item x="0"/>
        <item x="5"/>
      </items>
    </pivotField>
    <pivotField compact="0" outline="0" showAll="0"/>
    <pivotField compact="0" outline="0" showAll="0"/>
    <pivotField axis="axisRow" compact="0" outline="0" showAll="0">
      <items count="67">
        <item x="21"/>
        <item x="22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9"/>
        <item x="10"/>
        <item x="11"/>
        <item x="16"/>
        <item x="17"/>
        <item x="12"/>
        <item x="18"/>
        <item x="13"/>
        <item x="14"/>
        <item x="15"/>
        <item x="19"/>
        <item x="20"/>
        <item x="49"/>
        <item x="4"/>
        <item x="50"/>
        <item x="0"/>
        <item x="51"/>
        <item x="52"/>
        <item x="53"/>
        <item x="54"/>
        <item x="55"/>
        <item x="56"/>
        <item x="5"/>
        <item x="57"/>
        <item x="58"/>
        <item x="59"/>
        <item x="1"/>
        <item x="60"/>
        <item x="2"/>
        <item x="6"/>
        <item x="61"/>
        <item x="62"/>
        <item x="3"/>
        <item x="7"/>
        <item x="29"/>
        <item x="35"/>
        <item x="48"/>
        <item x="63"/>
        <item x="8"/>
        <item x="64"/>
        <item x="65"/>
        <item t="default"/>
      </items>
    </pivotField>
    <pivotField compact="0" outline="0" showAll="0"/>
    <pivotField axis="axisRow" compact="0" outline="0" showAll="0">
      <items count="18">
        <item x="4"/>
        <item x="0"/>
        <item x="7"/>
        <item x="8"/>
        <item x="6"/>
        <item x="9"/>
        <item x="13"/>
        <item x="10"/>
        <item x="5"/>
        <item x="12"/>
        <item x="15"/>
        <item x="11"/>
        <item x="1"/>
        <item x="2"/>
        <item x="14"/>
        <item x="3"/>
        <item sd="0" x="16"/>
        <item t="default"/>
      </items>
    </pivotField>
    <pivotField axis="axisRow" compact="0" outline="0" showAll="0" defaultSubtotal="0">
      <items count="11">
        <item x="0"/>
        <item x="3"/>
        <item x="9"/>
        <item x="1"/>
        <item x="2"/>
        <item x="5"/>
        <item x="6"/>
        <item x="4"/>
        <item x="8"/>
        <item x="7"/>
        <item x="10"/>
      </items>
    </pivotField>
    <pivotField compact="0" outline="0" showAll="0"/>
    <pivotField dataField="1" compact="0" outline="0" showAll="0"/>
    <pivotField axis="axisRow" compact="0" outline="0" showAll="0">
      <items count="11">
        <item x="2"/>
        <item x="6"/>
        <item x="5"/>
        <item x="7"/>
        <item x="8"/>
        <item x="4"/>
        <item x="3"/>
        <item x="1"/>
        <item x="0"/>
        <item x="9"/>
        <item t="default"/>
      </items>
    </pivotField>
    <pivotField axis="axisRow" compact="0" outline="0" showAll="0" defaultSubtotal="0">
      <items count="22">
        <item x="4"/>
        <item x="17"/>
        <item x="16"/>
        <item x="15"/>
        <item x="14"/>
        <item x="13"/>
        <item x="18"/>
        <item x="20"/>
        <item x="12"/>
        <item x="11"/>
        <item x="10"/>
        <item x="9"/>
        <item x="8"/>
        <item x="3"/>
        <item x="2"/>
        <item x="7"/>
        <item x="6"/>
        <item x="5"/>
        <item x="1"/>
        <item x="0"/>
        <item x="19"/>
        <item x="2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6">
    <field x="9"/>
    <field x="10"/>
    <field x="13"/>
    <field x="14"/>
    <field x="4"/>
    <field x="7"/>
  </rowFields>
  <rowItems count="179">
    <i>
      <x/>
      <x v="1"/>
      <x v="8"/>
      <x v="15"/>
      <x v="3"/>
      <x v="25"/>
    </i>
    <i r="4">
      <x v="4"/>
      <x v="37"/>
    </i>
    <i r="5">
      <x v="38"/>
    </i>
    <i r="3">
      <x v="16"/>
      <x v="1"/>
      <x v="8"/>
    </i>
    <i r="4">
      <x v="3"/>
      <x v="25"/>
    </i>
    <i r="4">
      <x v="4"/>
      <x v="37"/>
    </i>
    <i r="5">
      <x v="38"/>
    </i>
    <i r="3">
      <x v="17"/>
      <x v="1"/>
      <x v="8"/>
    </i>
    <i r="4">
      <x v="3"/>
      <x v="25"/>
    </i>
    <i r="4">
      <x v="4"/>
      <x v="37"/>
    </i>
    <i r="5">
      <x v="38"/>
    </i>
    <i r="3">
      <x v="18"/>
      <x v="3"/>
      <x v="25"/>
    </i>
    <i r="4">
      <x v="4"/>
      <x v="37"/>
    </i>
    <i r="5">
      <x v="38"/>
    </i>
    <i t="default" r="2">
      <x v="8"/>
    </i>
    <i t="default">
      <x/>
    </i>
    <i>
      <x v="1"/>
      <x/>
      <x v="1"/>
      <x v="1"/>
      <x v="3"/>
      <x v="26"/>
    </i>
    <i r="4">
      <x v="4"/>
      <x v="39"/>
    </i>
    <i r="3">
      <x v="2"/>
      <x v="3"/>
      <x v="26"/>
    </i>
    <i r="3">
      <x v="3"/>
      <x v="3"/>
      <x v="26"/>
    </i>
    <i r="4">
      <x v="4"/>
      <x v="39"/>
    </i>
    <i r="3">
      <x v="4"/>
      <x v="3"/>
      <x v="26"/>
    </i>
    <i r="4">
      <x v="4"/>
      <x v="39"/>
    </i>
    <i t="default" r="2">
      <x v="1"/>
    </i>
    <i r="2">
      <x v="8"/>
      <x v="14"/>
      <x v="3"/>
      <x v="26"/>
    </i>
    <i r="4">
      <x v="4"/>
      <x v="39"/>
    </i>
    <i r="5">
      <x v="40"/>
    </i>
    <i r="3">
      <x v="17"/>
      <x v="3"/>
      <x v="26"/>
    </i>
    <i r="4">
      <x v="4"/>
      <x v="39"/>
    </i>
    <i r="3">
      <x v="18"/>
      <x v="3"/>
      <x v="26"/>
    </i>
    <i r="4">
      <x v="4"/>
      <x v="39"/>
    </i>
    <i r="5">
      <x v="40"/>
    </i>
    <i r="3">
      <x v="19"/>
      <x v="3"/>
      <x v="26"/>
    </i>
    <i r="4">
      <x v="4"/>
      <x v="39"/>
    </i>
    <i r="5">
      <x v="40"/>
    </i>
    <i t="default" r="2">
      <x v="8"/>
    </i>
    <i t="default">
      <x v="1"/>
    </i>
    <i>
      <x v="2"/>
      <x v="7"/>
      <x v="3"/>
      <x v="6"/>
      <x/>
      <x/>
    </i>
    <i r="4">
      <x v="2"/>
      <x v="13"/>
    </i>
    <i r="5">
      <x v="14"/>
    </i>
    <i r="4">
      <x v="3"/>
      <x v="27"/>
    </i>
    <i r="4">
      <x v="4"/>
      <x v="41"/>
    </i>
    <i t="default" r="2">
      <x v="3"/>
    </i>
    <i r="2">
      <x v="7"/>
      <x v="13"/>
      <x v="2"/>
      <x v="16"/>
    </i>
    <i r="4">
      <x v="3"/>
      <x v="30"/>
    </i>
    <i r="4">
      <x v="4"/>
      <x v="41"/>
    </i>
    <i t="default" r="2">
      <x v="7"/>
    </i>
    <i r="2">
      <x v="8"/>
      <x v="20"/>
      <x v="3"/>
      <x v="28"/>
    </i>
    <i r="4">
      <x v="4"/>
      <x v="41"/>
    </i>
    <i t="default" r="2">
      <x v="8"/>
    </i>
    <i t="default">
      <x v="2"/>
    </i>
    <i>
      <x v="3"/>
      <x v="5"/>
      <x v="5"/>
      <x v="8"/>
      <x/>
      <x v="1"/>
    </i>
    <i r="4">
      <x v="3"/>
      <x v="29"/>
    </i>
    <i r="4">
      <x v="4"/>
      <x v="42"/>
    </i>
    <i t="default" r="2">
      <x v="5"/>
    </i>
    <i r="2">
      <x v="8"/>
      <x v="20"/>
      <x v="2"/>
      <x v="16"/>
    </i>
    <i r="4">
      <x v="3"/>
      <x v="30"/>
    </i>
    <i r="4">
      <x v="4"/>
      <x v="42"/>
    </i>
    <i t="default" r="2">
      <x v="8"/>
    </i>
    <i t="default">
      <x v="3"/>
    </i>
    <i>
      <x v="4"/>
      <x v="3"/>
      <x v="2"/>
      <x v="5"/>
      <x v="4"/>
      <x v="62"/>
    </i>
    <i r="5">
      <x v="63"/>
    </i>
    <i t="default" r="2">
      <x v="2"/>
    </i>
    <i r="2">
      <x v="5"/>
      <x v="8"/>
      <x/>
      <x v="2"/>
    </i>
    <i r="4">
      <x v="4"/>
      <x v="62"/>
    </i>
    <i r="5">
      <x v="63"/>
    </i>
    <i t="default" r="2">
      <x v="5"/>
    </i>
    <i r="2">
      <x v="7"/>
      <x v="13"/>
      <x v="1"/>
      <x v="9"/>
    </i>
    <i r="4">
      <x v="2"/>
      <x v="15"/>
    </i>
    <i r="4">
      <x v="3"/>
      <x v="30"/>
    </i>
    <i r="4">
      <x v="4"/>
      <x v="62"/>
    </i>
    <i r="5">
      <x v="63"/>
    </i>
    <i t="default" r="2">
      <x v="7"/>
    </i>
    <i r="2">
      <x v="8"/>
      <x v="20"/>
      <x v="1"/>
      <x v="9"/>
    </i>
    <i r="4">
      <x v="3"/>
      <x v="30"/>
    </i>
    <i r="5">
      <x v="31"/>
    </i>
    <i r="4">
      <x v="4"/>
      <x v="62"/>
    </i>
    <i t="default" r="2">
      <x v="8"/>
    </i>
    <i t="default">
      <x v="4"/>
    </i>
    <i>
      <x v="5"/>
      <x v="4"/>
      <x v="2"/>
      <x v="5"/>
      <x v="2"/>
      <x v="16"/>
    </i>
    <i r="4">
      <x v="4"/>
      <x v="43"/>
    </i>
    <i t="default" r="2">
      <x v="2"/>
    </i>
    <i r="2">
      <x v="3"/>
      <x v="6"/>
      <x/>
      <x v="3"/>
    </i>
    <i r="4">
      <x v="2"/>
      <x v="17"/>
    </i>
    <i r="4">
      <x v="3"/>
      <x v="32"/>
    </i>
    <i r="4">
      <x v="4"/>
      <x v="43"/>
    </i>
    <i t="default" r="2">
      <x v="3"/>
    </i>
    <i r="2">
      <x v="5"/>
      <x v="8"/>
      <x v="2"/>
      <x v="16"/>
    </i>
    <i r="4">
      <x v="3"/>
      <x v="30"/>
    </i>
    <i r="4">
      <x v="4"/>
      <x v="43"/>
    </i>
    <i t="default" r="2">
      <x v="5"/>
    </i>
    <i r="2">
      <x v="7"/>
      <x v="13"/>
      <x v="1"/>
      <x v="10"/>
    </i>
    <i r="4">
      <x v="4"/>
      <x v="43"/>
    </i>
    <i t="default" r="2">
      <x v="7"/>
    </i>
    <i r="2">
      <x v="8"/>
      <x v="20"/>
      <x/>
      <x v="3"/>
    </i>
    <i r="4">
      <x v="4"/>
      <x v="43"/>
    </i>
    <i t="default" r="2">
      <x v="8"/>
    </i>
    <i t="default">
      <x v="5"/>
    </i>
    <i>
      <x v="6"/>
      <x v="8"/>
      <x v="4"/>
      <x v="7"/>
      <x v="2"/>
      <x v="18"/>
    </i>
    <i r="4">
      <x v="4"/>
      <x v="44"/>
    </i>
    <i t="default" r="2">
      <x v="4"/>
    </i>
    <i r="2">
      <x v="8"/>
      <x v="20"/>
      <x v="2"/>
      <x v="18"/>
    </i>
    <i r="4">
      <x v="4"/>
      <x v="44"/>
    </i>
    <i t="default" r="2">
      <x v="8"/>
    </i>
    <i t="default">
      <x v="6"/>
    </i>
    <i>
      <x v="7"/>
      <x v="6"/>
      <x v="4"/>
      <x v="7"/>
      <x/>
      <x v="4"/>
    </i>
    <i r="4">
      <x v="2"/>
      <x v="19"/>
    </i>
    <i r="5">
      <x v="20"/>
    </i>
    <i r="4">
      <x v="3"/>
      <x v="33"/>
    </i>
    <i r="4">
      <x v="4"/>
      <x v="45"/>
    </i>
    <i t="default" r="2">
      <x v="4"/>
    </i>
    <i r="2">
      <x v="8"/>
      <x v="20"/>
      <x/>
      <x v="4"/>
    </i>
    <i r="4">
      <x v="4"/>
      <x v="45"/>
    </i>
    <i t="default" r="2">
      <x v="8"/>
    </i>
    <i t="default">
      <x v="7"/>
    </i>
    <i>
      <x v="8"/>
      <x v="1"/>
      <x v="6"/>
      <x v="9"/>
      <x v="2"/>
      <x v="21"/>
    </i>
    <i r="4">
      <x v="3"/>
      <x v="34"/>
    </i>
    <i r="4">
      <x v="4"/>
      <x v="46"/>
    </i>
    <i r="5">
      <x v="47"/>
    </i>
    <i r="3">
      <x v="10"/>
      <x v="2"/>
      <x v="21"/>
    </i>
    <i r="4">
      <x v="3"/>
      <x v="34"/>
    </i>
    <i r="4">
      <x v="4"/>
      <x v="46"/>
    </i>
    <i r="5">
      <x v="47"/>
    </i>
    <i r="3">
      <x v="11"/>
      <x v="2"/>
      <x v="21"/>
    </i>
    <i r="4">
      <x v="3"/>
      <x v="34"/>
    </i>
    <i r="4">
      <x v="4"/>
      <x v="46"/>
    </i>
    <i r="5">
      <x v="47"/>
    </i>
    <i r="3">
      <x v="12"/>
      <x v="2"/>
      <x v="21"/>
    </i>
    <i r="4">
      <x v="3"/>
      <x v="34"/>
    </i>
    <i r="4">
      <x v="4"/>
      <x v="46"/>
    </i>
    <i r="5">
      <x v="47"/>
    </i>
    <i t="default" r="2">
      <x v="6"/>
    </i>
    <i t="default">
      <x v="8"/>
    </i>
    <i>
      <x v="9"/>
      <x v="9"/>
      <x/>
      <x/>
      <x/>
      <x v="59"/>
    </i>
    <i r="4">
      <x v="1"/>
      <x v="60"/>
    </i>
    <i r="4">
      <x v="2"/>
      <x v="61"/>
    </i>
    <i r="4">
      <x v="4"/>
      <x v="64"/>
    </i>
    <i t="default" r="2">
      <x/>
    </i>
    <i r="2">
      <x v="7"/>
      <x v="13"/>
      <x v="1"/>
      <x v="60"/>
    </i>
    <i r="4">
      <x v="4"/>
      <x v="64"/>
    </i>
    <i t="default" r="2">
      <x v="7"/>
    </i>
    <i t="default">
      <x v="9"/>
    </i>
    <i>
      <x v="10"/>
      <x v="2"/>
      <x v="7"/>
      <x v="13"/>
      <x v="4"/>
      <x v="48"/>
    </i>
    <i t="default" r="2">
      <x v="7"/>
    </i>
    <i t="default">
      <x v="10"/>
    </i>
    <i>
      <x v="11"/>
      <x v="5"/>
      <x/>
      <x/>
      <x/>
      <x v="5"/>
    </i>
    <i r="4">
      <x v="3"/>
      <x v="35"/>
    </i>
    <i r="4">
      <x v="4"/>
      <x v="49"/>
    </i>
    <i t="default" r="2">
      <x/>
    </i>
    <i t="default">
      <x v="11"/>
    </i>
    <i>
      <x v="12"/>
      <x v="3"/>
      <x/>
      <x/>
      <x v="4"/>
      <x v="50"/>
    </i>
    <i t="default" r="2">
      <x/>
    </i>
    <i r="2">
      <x v="7"/>
      <x v="13"/>
      <x/>
      <x v="6"/>
    </i>
    <i r="4">
      <x v="1"/>
      <x v="11"/>
    </i>
    <i r="4">
      <x v="3"/>
      <x v="36"/>
    </i>
    <i r="4">
      <x v="4"/>
      <x v="50"/>
    </i>
    <i r="5">
      <x v="51"/>
    </i>
    <i t="default" r="2">
      <x v="7"/>
    </i>
    <i t="default">
      <x v="12"/>
    </i>
    <i>
      <x v="13"/>
      <x v="4"/>
      <x v="7"/>
      <x v="13"/>
      <x v="1"/>
      <x v="12"/>
    </i>
    <i r="4">
      <x v="2"/>
      <x v="22"/>
    </i>
    <i r="4">
      <x v="4"/>
      <x v="52"/>
    </i>
    <i r="5">
      <x v="53"/>
    </i>
    <i r="5">
      <x v="54"/>
    </i>
    <i t="default" r="2">
      <x v="7"/>
    </i>
    <i t="default">
      <x v="13"/>
    </i>
    <i>
      <x v="14"/>
      <x v="2"/>
      <x/>
      <x/>
      <x v="2"/>
      <x v="23"/>
    </i>
    <i r="4">
      <x v="4"/>
      <x v="55"/>
    </i>
    <i t="default" r="2">
      <x/>
    </i>
    <i t="default">
      <x v="14"/>
    </i>
    <i>
      <x v="15"/>
      <x v="4"/>
      <x/>
      <x/>
      <x/>
      <x v="7"/>
    </i>
    <i r="4">
      <x v="2"/>
      <x v="24"/>
    </i>
    <i r="4">
      <x v="4"/>
      <x v="56"/>
    </i>
    <i r="5">
      <x v="57"/>
    </i>
    <i r="5">
      <x v="58"/>
    </i>
    <i t="default" r="2">
      <x/>
    </i>
    <i t="default">
      <x v="15"/>
    </i>
    <i>
      <x v="16"/>
    </i>
    <i t="grand">
      <x/>
    </i>
  </rowItems>
  <colItems count="1">
    <i/>
  </colItems>
  <dataFields count="1">
    <dataField name="Pièces" fld="12" baseField="0" baseItem="0"/>
  </dataFields>
  <formats count="10">
    <format dxfId="207">
      <pivotArea dataOnly="0" outline="0" fieldPosition="0">
        <references count="1">
          <reference field="13" count="0" defaultSubtotal="1"/>
        </references>
      </pivotArea>
    </format>
    <format dxfId="206">
      <pivotArea dataOnly="0" outline="0" fieldPosition="0">
        <references count="1">
          <reference field="9" count="0" defaultSubtotal="1"/>
        </references>
      </pivotArea>
    </format>
    <format dxfId="205">
      <pivotArea dataOnly="0" outline="0" fieldPosition="0">
        <references count="1">
          <reference field="13" count="0" defaultSubtotal="1"/>
        </references>
      </pivotArea>
    </format>
    <format dxfId="204">
      <pivotArea dataOnly="0" outline="0" fieldPosition="0">
        <references count="1">
          <reference field="9" count="0" defaultSubtotal="1"/>
        </references>
      </pivotArea>
    </format>
    <format dxfId="203">
      <pivotArea outline="0" collapsedLevelsAreSubtotals="1" fieldPosition="0"/>
    </format>
    <format dxfId="202">
      <pivotArea dataOnly="0" labelOnly="1" outline="0" axis="axisValues" fieldPosition="0"/>
    </format>
    <format dxfId="201">
      <pivotArea outline="0" fieldPosition="0">
        <references count="3">
          <reference field="9" count="1" selected="0">
            <x v="1"/>
          </reference>
          <reference field="10" count="1" selected="0">
            <x v="0"/>
          </reference>
          <reference field="13" count="1" selected="0">
            <x v="1"/>
          </reference>
        </references>
      </pivotArea>
    </format>
    <format dxfId="200">
      <pivotArea dataOnly="0" labelOnly="1" outline="0" fieldPosition="0">
        <references count="3">
          <reference field="9" count="1" selected="0">
            <x v="1"/>
          </reference>
          <reference field="10" count="1" selected="0">
            <x v="0"/>
          </reference>
          <reference field="13" count="1">
            <x v="1"/>
          </reference>
        </references>
      </pivotArea>
    </format>
    <format dxfId="199">
      <pivotArea outline="0" fieldPosition="0">
        <references count="3">
          <reference field="9" count="1" selected="0">
            <x v="0"/>
          </reference>
          <reference field="10" count="1" selected="0">
            <x v="1"/>
          </reference>
          <reference field="13" count="1" selected="0">
            <x v="8"/>
          </reference>
        </references>
      </pivotArea>
    </format>
    <format dxfId="198">
      <pivotArea dataOnly="0" labelOnly="1" outline="0" fieldPosition="0">
        <references count="3">
          <reference field="9" count="1" selected="0">
            <x v="0"/>
          </reference>
          <reference field="10" count="1" selected="0">
            <x v="1"/>
          </reference>
          <reference field="13" count="1"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67405-41EE-4601-8604-3015BD7DF896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compact="0" compactData="0" multipleFieldFilters="0">
  <location ref="A3:C36" firstHeaderRow="1" firstDataRow="1" firstDataCol="2"/>
  <pivotFields count="41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2">
        <item x="4"/>
        <item x="9"/>
        <item x="0"/>
        <item x="10"/>
        <item x="12"/>
        <item x="17"/>
        <item x="18"/>
        <item x="13"/>
        <item x="8"/>
        <item x="7"/>
        <item x="6"/>
        <item x="11"/>
        <item x="25"/>
        <item x="15"/>
        <item x="14"/>
        <item x="23"/>
        <item x="20"/>
        <item x="27"/>
        <item x="26"/>
        <item x="16"/>
        <item x="21"/>
        <item x="5"/>
        <item x="22"/>
        <item x="24"/>
        <item x="29"/>
        <item x="19"/>
        <item x="30"/>
        <item x="1"/>
        <item x="2"/>
        <item x="28"/>
        <item x="3"/>
        <item x="31"/>
      </items>
    </pivotField>
    <pivotField compact="0" outline="0" showAll="0" defaultSubtotal="0"/>
    <pivotField name="MODÈLE" axis="axisRow" compact="0" outline="0" showAll="0" defaultSubtotal="0">
      <items count="11">
        <item x="0"/>
        <item x="3"/>
        <item x="9"/>
        <item x="1"/>
        <item x="2"/>
        <item x="5"/>
        <item x="7"/>
        <item x="6"/>
        <item x="4"/>
        <item x="8"/>
        <item x="1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0"/>
    <field x="8"/>
  </rowFields>
  <rowItems count="33">
    <i>
      <x/>
      <x v="1"/>
    </i>
    <i r="1">
      <x v="2"/>
    </i>
    <i>
      <x v="1"/>
      <x/>
    </i>
    <i r="1">
      <x v="21"/>
    </i>
    <i>
      <x v="2"/>
      <x v="24"/>
    </i>
    <i r="1">
      <x v="29"/>
    </i>
    <i>
      <x v="3"/>
      <x v="8"/>
    </i>
    <i r="1">
      <x v="9"/>
    </i>
    <i r="1">
      <x v="10"/>
    </i>
    <i r="1">
      <x v="11"/>
    </i>
    <i r="1">
      <x v="26"/>
    </i>
    <i r="1">
      <x v="27"/>
    </i>
    <i>
      <x v="4"/>
      <x v="12"/>
    </i>
    <i r="1">
      <x v="13"/>
    </i>
    <i r="1">
      <x v="14"/>
    </i>
    <i r="1">
      <x v="15"/>
    </i>
    <i r="1">
      <x v="16"/>
    </i>
    <i r="1">
      <x v="28"/>
    </i>
    <i r="1">
      <x v="30"/>
    </i>
    <i>
      <x v="5"/>
      <x v="6"/>
    </i>
    <i r="1">
      <x v="7"/>
    </i>
    <i r="1">
      <x v="25"/>
    </i>
    <i>
      <x v="6"/>
      <x v="22"/>
    </i>
    <i r="1">
      <x v="23"/>
    </i>
    <i>
      <x v="7"/>
      <x v="19"/>
    </i>
    <i r="1">
      <x v="20"/>
    </i>
    <i>
      <x v="8"/>
      <x v="3"/>
    </i>
    <i r="1">
      <x v="4"/>
    </i>
    <i r="1">
      <x v="5"/>
    </i>
    <i>
      <x v="9"/>
      <x v="17"/>
    </i>
    <i r="1">
      <x v="18"/>
    </i>
    <i>
      <x v="10"/>
      <x v="31"/>
    </i>
    <i t="grand">
      <x/>
    </i>
  </rowItems>
  <colItems count="1">
    <i/>
  </colItems>
  <dataFields count="1">
    <dataField name="PIÈCES" fld="12" baseField="0" baseItem="0"/>
  </dataFields>
  <formats count="18"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10" type="button" dataOnly="0" labelOnly="1" outline="0" axis="axisRow" fieldPosition="0"/>
    </format>
    <format dxfId="194">
      <pivotArea field="8" type="button" dataOnly="0" labelOnly="1" outline="0" axis="axisRow" fieldPosition="1"/>
    </format>
    <format dxfId="193">
      <pivotArea dataOnly="0" labelOnly="1" outline="0" fieldPosition="0">
        <references count="1">
          <reference field="10" count="0"/>
        </references>
      </pivotArea>
    </format>
    <format dxfId="192">
      <pivotArea dataOnly="0" labelOnly="1" grandRow="1" outline="0" fieldPosition="0"/>
    </format>
    <format dxfId="191">
      <pivotArea dataOnly="0" labelOnly="1" outline="0" fieldPosition="0">
        <references count="2">
          <reference field="8" count="2">
            <x v="1"/>
            <x v="2"/>
          </reference>
          <reference field="10" count="1" selected="0">
            <x v="0"/>
          </reference>
        </references>
      </pivotArea>
    </format>
    <format dxfId="190">
      <pivotArea dataOnly="0" labelOnly="1" outline="0" fieldPosition="0">
        <references count="2">
          <reference field="8" count="2">
            <x v="0"/>
            <x v="21"/>
          </reference>
          <reference field="10" count="1" selected="0">
            <x v="1"/>
          </reference>
        </references>
      </pivotArea>
    </format>
    <format dxfId="189">
      <pivotArea dataOnly="0" labelOnly="1" outline="0" fieldPosition="0">
        <references count="2">
          <reference field="8" count="2">
            <x v="24"/>
            <x v="29"/>
          </reference>
          <reference field="10" count="1" selected="0">
            <x v="2"/>
          </reference>
        </references>
      </pivotArea>
    </format>
    <format dxfId="188">
      <pivotArea dataOnly="0" labelOnly="1" outline="0" fieldPosition="0">
        <references count="2">
          <reference field="8" count="6">
            <x v="8"/>
            <x v="9"/>
            <x v="10"/>
            <x v="11"/>
            <x v="26"/>
            <x v="27"/>
          </reference>
          <reference field="10" count="1" selected="0">
            <x v="3"/>
          </reference>
        </references>
      </pivotArea>
    </format>
    <format dxfId="187">
      <pivotArea dataOnly="0" labelOnly="1" outline="0" fieldPosition="0">
        <references count="2">
          <reference field="8" count="7">
            <x v="12"/>
            <x v="13"/>
            <x v="14"/>
            <x v="15"/>
            <x v="16"/>
            <x v="28"/>
            <x v="30"/>
          </reference>
          <reference field="10" count="1" selected="0">
            <x v="4"/>
          </reference>
        </references>
      </pivotArea>
    </format>
    <format dxfId="186">
      <pivotArea dataOnly="0" labelOnly="1" outline="0" fieldPosition="0">
        <references count="2">
          <reference field="8" count="3">
            <x v="6"/>
            <x v="7"/>
            <x v="25"/>
          </reference>
          <reference field="10" count="1" selected="0">
            <x v="5"/>
          </reference>
        </references>
      </pivotArea>
    </format>
    <format dxfId="185">
      <pivotArea dataOnly="0" labelOnly="1" outline="0" fieldPosition="0">
        <references count="2">
          <reference field="8" count="2">
            <x v="19"/>
            <x v="20"/>
          </reference>
          <reference field="10" count="1" selected="0">
            <x v="7"/>
          </reference>
        </references>
      </pivotArea>
    </format>
    <format dxfId="184">
      <pivotArea dataOnly="0" labelOnly="1" outline="0" fieldPosition="0">
        <references count="2">
          <reference field="8" count="3">
            <x v="3"/>
            <x v="4"/>
            <x v="5"/>
          </reference>
          <reference field="10" count="1" selected="0">
            <x v="8"/>
          </reference>
        </references>
      </pivotArea>
    </format>
    <format dxfId="183">
      <pivotArea dataOnly="0" labelOnly="1" outline="0" fieldPosition="0">
        <references count="2">
          <reference field="8" count="2">
            <x v="17"/>
            <x v="18"/>
          </reference>
          <reference field="10" count="1" selected="0">
            <x v="9"/>
          </reference>
        </references>
      </pivotArea>
    </format>
    <format dxfId="182">
      <pivotArea dataOnly="0" labelOnly="1" outline="0" fieldPosition="0">
        <references count="2">
          <reference field="8" count="2">
            <x v="22"/>
            <x v="23"/>
          </reference>
          <reference field="10" count="1" selected="0">
            <x v="6"/>
          </reference>
        </references>
      </pivotArea>
    </format>
    <format dxfId="181">
      <pivotArea dataOnly="0" labelOnly="1" outline="0" fieldPosition="0">
        <references count="2">
          <reference field="8" count="1">
            <x v="31"/>
          </reference>
          <reference field="10" count="1" selected="0">
            <x v="10"/>
          </reference>
        </references>
      </pivotArea>
    </format>
    <format dxfId="18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FD7A-BE42-4D86-9712-C021D001E86A}">
  <dimension ref="A3:I182"/>
  <sheetViews>
    <sheetView tabSelected="1" topLeftCell="A118" zoomScale="145" zoomScaleNormal="145" workbookViewId="0">
      <selection activeCell="D137" sqref="D137"/>
    </sheetView>
  </sheetViews>
  <sheetFormatPr baseColWidth="10" defaultColWidth="11.42578125" defaultRowHeight="12.75" x14ac:dyDescent="0.2"/>
  <cols>
    <col min="1" max="1" width="18.42578125" customWidth="1"/>
    <col min="2" max="2" width="23" customWidth="1"/>
    <col min="6" max="6" width="19.7109375" bestFit="1" customWidth="1"/>
    <col min="7" max="7" width="7" style="36" bestFit="1" customWidth="1"/>
  </cols>
  <sheetData>
    <row r="3" spans="1:7" x14ac:dyDescent="0.2">
      <c r="A3" s="8" t="s">
        <v>172</v>
      </c>
      <c r="B3" s="8" t="s">
        <v>173</v>
      </c>
      <c r="C3" s="8" t="s">
        <v>202</v>
      </c>
      <c r="D3" s="8" t="s">
        <v>176</v>
      </c>
      <c r="E3" s="8" t="s">
        <v>168</v>
      </c>
      <c r="F3" s="8" t="s">
        <v>171</v>
      </c>
      <c r="G3" s="36" t="s">
        <v>252</v>
      </c>
    </row>
    <row r="4" spans="1:7" x14ac:dyDescent="0.2">
      <c r="A4" t="s">
        <v>43</v>
      </c>
      <c r="B4" t="s">
        <v>44</v>
      </c>
      <c r="C4" s="40" t="s">
        <v>204</v>
      </c>
      <c r="D4" t="s">
        <v>50</v>
      </c>
      <c r="E4" t="s">
        <v>65</v>
      </c>
      <c r="F4" t="s">
        <v>67</v>
      </c>
      <c r="G4" s="41">
        <v>5</v>
      </c>
    </row>
    <row r="5" spans="1:7" x14ac:dyDescent="0.2">
      <c r="C5" s="40"/>
      <c r="E5" t="s">
        <v>4</v>
      </c>
      <c r="F5" t="s">
        <v>147</v>
      </c>
      <c r="G5" s="41">
        <v>7</v>
      </c>
    </row>
    <row r="6" spans="1:7" x14ac:dyDescent="0.2">
      <c r="C6" s="40"/>
      <c r="F6" t="s">
        <v>42</v>
      </c>
      <c r="G6" s="41">
        <v>1</v>
      </c>
    </row>
    <row r="7" spans="1:7" x14ac:dyDescent="0.2">
      <c r="C7" s="40"/>
      <c r="D7" t="s">
        <v>48</v>
      </c>
      <c r="E7" t="s">
        <v>118</v>
      </c>
      <c r="F7" t="s">
        <v>120</v>
      </c>
      <c r="G7" s="41">
        <v>15</v>
      </c>
    </row>
    <row r="8" spans="1:7" x14ac:dyDescent="0.2">
      <c r="C8" s="40"/>
      <c r="E8" t="s">
        <v>65</v>
      </c>
      <c r="F8" t="s">
        <v>67</v>
      </c>
      <c r="G8" s="41">
        <v>5</v>
      </c>
    </row>
    <row r="9" spans="1:7" x14ac:dyDescent="0.2">
      <c r="C9" s="40"/>
      <c r="E9" t="s">
        <v>4</v>
      </c>
      <c r="F9" t="s">
        <v>147</v>
      </c>
      <c r="G9" s="41">
        <v>14</v>
      </c>
    </row>
    <row r="10" spans="1:7" x14ac:dyDescent="0.2">
      <c r="C10" s="40"/>
      <c r="F10" t="s">
        <v>42</v>
      </c>
      <c r="G10" s="41">
        <v>2</v>
      </c>
    </row>
    <row r="11" spans="1:7" x14ac:dyDescent="0.2">
      <c r="C11" s="40"/>
      <c r="D11" t="s">
        <v>46</v>
      </c>
      <c r="E11" t="s">
        <v>118</v>
      </c>
      <c r="F11" t="s">
        <v>120</v>
      </c>
      <c r="G11" s="41">
        <v>15</v>
      </c>
    </row>
    <row r="12" spans="1:7" x14ac:dyDescent="0.2">
      <c r="C12" s="40"/>
      <c r="E12" t="s">
        <v>65</v>
      </c>
      <c r="F12" t="s">
        <v>67</v>
      </c>
      <c r="G12" s="41">
        <v>5</v>
      </c>
    </row>
    <row r="13" spans="1:7" x14ac:dyDescent="0.2">
      <c r="C13" s="40"/>
      <c r="E13" t="s">
        <v>4</v>
      </c>
      <c r="F13" t="s">
        <v>147</v>
      </c>
      <c r="G13" s="41">
        <v>11</v>
      </c>
    </row>
    <row r="14" spans="1:7" x14ac:dyDescent="0.2">
      <c r="C14" s="40"/>
      <c r="F14" t="s">
        <v>42</v>
      </c>
      <c r="G14" s="41">
        <v>1</v>
      </c>
    </row>
    <row r="15" spans="1:7" x14ac:dyDescent="0.2">
      <c r="C15" s="40"/>
      <c r="D15" t="s">
        <v>24</v>
      </c>
      <c r="E15" t="s">
        <v>65</v>
      </c>
      <c r="F15" t="s">
        <v>67</v>
      </c>
      <c r="G15" s="41">
        <v>5</v>
      </c>
    </row>
    <row r="16" spans="1:7" x14ac:dyDescent="0.2">
      <c r="C16" s="40"/>
      <c r="E16" t="s">
        <v>4</v>
      </c>
      <c r="F16" t="s">
        <v>147</v>
      </c>
      <c r="G16" s="41">
        <v>5</v>
      </c>
    </row>
    <row r="17" spans="1:8" x14ac:dyDescent="0.2">
      <c r="C17" s="40"/>
      <c r="F17" t="s">
        <v>42</v>
      </c>
      <c r="G17" s="41">
        <v>1</v>
      </c>
    </row>
    <row r="18" spans="1:8" x14ac:dyDescent="0.2">
      <c r="C18" s="10" t="s">
        <v>253</v>
      </c>
      <c r="D18" s="10"/>
      <c r="E18" s="10"/>
      <c r="F18" s="10"/>
      <c r="G18" s="38">
        <v>92</v>
      </c>
    </row>
    <row r="19" spans="1:8" x14ac:dyDescent="0.2">
      <c r="A19" s="9" t="s">
        <v>254</v>
      </c>
      <c r="B19" s="9"/>
      <c r="C19" s="9"/>
      <c r="D19" s="9"/>
      <c r="E19" s="9"/>
      <c r="F19" s="9"/>
      <c r="G19" s="39">
        <v>92</v>
      </c>
      <c r="H19">
        <v>280</v>
      </c>
    </row>
    <row r="20" spans="1:8" x14ac:dyDescent="0.2">
      <c r="A20" t="s">
        <v>8</v>
      </c>
      <c r="B20" t="s">
        <v>9</v>
      </c>
      <c r="C20" s="40" t="s">
        <v>249</v>
      </c>
      <c r="D20" t="s">
        <v>76</v>
      </c>
      <c r="E20" t="s">
        <v>65</v>
      </c>
      <c r="F20" t="s">
        <v>69</v>
      </c>
      <c r="G20" s="41">
        <v>15</v>
      </c>
    </row>
    <row r="21" spans="1:8" x14ac:dyDescent="0.2">
      <c r="C21" s="40"/>
      <c r="E21" t="s">
        <v>4</v>
      </c>
      <c r="F21" t="s">
        <v>148</v>
      </c>
      <c r="G21" s="41">
        <v>3</v>
      </c>
    </row>
    <row r="22" spans="1:8" x14ac:dyDescent="0.2">
      <c r="C22" s="40"/>
      <c r="D22" t="s">
        <v>74</v>
      </c>
      <c r="E22" t="s">
        <v>65</v>
      </c>
      <c r="F22" t="s">
        <v>69</v>
      </c>
      <c r="G22" s="41">
        <v>10</v>
      </c>
    </row>
    <row r="23" spans="1:8" x14ac:dyDescent="0.2">
      <c r="C23" s="40"/>
      <c r="D23" t="s">
        <v>72</v>
      </c>
      <c r="E23" t="s">
        <v>65</v>
      </c>
      <c r="F23" t="s">
        <v>69</v>
      </c>
      <c r="G23" s="41">
        <v>10</v>
      </c>
    </row>
    <row r="24" spans="1:8" x14ac:dyDescent="0.2">
      <c r="C24" s="40"/>
      <c r="E24" t="s">
        <v>4</v>
      </c>
      <c r="F24" t="s">
        <v>148</v>
      </c>
      <c r="G24" s="41">
        <v>3</v>
      </c>
    </row>
    <row r="25" spans="1:8" x14ac:dyDescent="0.2">
      <c r="C25" s="40"/>
      <c r="D25" t="s">
        <v>70</v>
      </c>
      <c r="E25" t="s">
        <v>65</v>
      </c>
      <c r="F25" t="s">
        <v>69</v>
      </c>
      <c r="G25" s="41">
        <v>15</v>
      </c>
    </row>
    <row r="26" spans="1:8" x14ac:dyDescent="0.2">
      <c r="C26" s="40"/>
      <c r="E26" t="s">
        <v>4</v>
      </c>
      <c r="F26" t="s">
        <v>148</v>
      </c>
      <c r="G26" s="41">
        <v>6</v>
      </c>
    </row>
    <row r="27" spans="1:8" x14ac:dyDescent="0.2">
      <c r="C27" s="10" t="s">
        <v>255</v>
      </c>
      <c r="D27" s="10"/>
      <c r="E27" s="10"/>
      <c r="F27" s="10"/>
      <c r="G27" s="38">
        <v>62</v>
      </c>
    </row>
    <row r="28" spans="1:8" x14ac:dyDescent="0.2">
      <c r="C28" t="s">
        <v>204</v>
      </c>
      <c r="D28" t="s">
        <v>27</v>
      </c>
      <c r="E28" t="s">
        <v>65</v>
      </c>
      <c r="F28" t="s">
        <v>69</v>
      </c>
      <c r="G28" s="37">
        <v>5</v>
      </c>
    </row>
    <row r="29" spans="1:8" x14ac:dyDescent="0.2">
      <c r="E29" t="s">
        <v>4</v>
      </c>
      <c r="F29" t="s">
        <v>148</v>
      </c>
      <c r="G29" s="37">
        <v>6</v>
      </c>
    </row>
    <row r="30" spans="1:8" x14ac:dyDescent="0.2">
      <c r="F30" t="s">
        <v>7</v>
      </c>
      <c r="G30" s="37">
        <v>3</v>
      </c>
    </row>
    <row r="31" spans="1:8" x14ac:dyDescent="0.2">
      <c r="D31" t="s">
        <v>46</v>
      </c>
      <c r="E31" t="s">
        <v>65</v>
      </c>
      <c r="F31" t="s">
        <v>69</v>
      </c>
      <c r="G31" s="37">
        <v>5</v>
      </c>
    </row>
    <row r="32" spans="1:8" x14ac:dyDescent="0.2">
      <c r="E32" t="s">
        <v>4</v>
      </c>
      <c r="F32" t="s">
        <v>148</v>
      </c>
      <c r="G32" s="37">
        <v>4</v>
      </c>
    </row>
    <row r="33" spans="1:9" x14ac:dyDescent="0.2">
      <c r="D33" t="s">
        <v>24</v>
      </c>
      <c r="E33" t="s">
        <v>65</v>
      </c>
      <c r="F33" t="s">
        <v>69</v>
      </c>
      <c r="G33" s="37">
        <v>5</v>
      </c>
    </row>
    <row r="34" spans="1:9" x14ac:dyDescent="0.2">
      <c r="E34" t="s">
        <v>4</v>
      </c>
      <c r="F34" t="s">
        <v>148</v>
      </c>
      <c r="G34" s="37">
        <v>17</v>
      </c>
    </row>
    <row r="35" spans="1:9" x14ac:dyDescent="0.2">
      <c r="F35" t="s">
        <v>7</v>
      </c>
      <c r="G35" s="37">
        <v>3</v>
      </c>
    </row>
    <row r="36" spans="1:9" x14ac:dyDescent="0.2">
      <c r="D36" t="s">
        <v>10</v>
      </c>
      <c r="E36" t="s">
        <v>65</v>
      </c>
      <c r="F36" t="s">
        <v>69</v>
      </c>
      <c r="G36" s="37">
        <v>10</v>
      </c>
    </row>
    <row r="37" spans="1:9" x14ac:dyDescent="0.2">
      <c r="E37" t="s">
        <v>4</v>
      </c>
      <c r="F37" t="s">
        <v>148</v>
      </c>
      <c r="G37" s="37">
        <v>17</v>
      </c>
    </row>
    <row r="38" spans="1:9" x14ac:dyDescent="0.2">
      <c r="F38" t="s">
        <v>7</v>
      </c>
      <c r="G38" s="37">
        <v>3</v>
      </c>
    </row>
    <row r="39" spans="1:9" x14ac:dyDescent="0.2">
      <c r="C39" s="10" t="s">
        <v>253</v>
      </c>
      <c r="D39" s="10"/>
      <c r="E39" s="10"/>
      <c r="F39" s="10"/>
      <c r="G39" s="38">
        <v>78</v>
      </c>
    </row>
    <row r="40" spans="1:9" x14ac:dyDescent="0.2">
      <c r="A40" s="9" t="s">
        <v>256</v>
      </c>
      <c r="B40" s="9"/>
      <c r="C40" s="9"/>
      <c r="D40" s="9"/>
      <c r="E40" s="9"/>
      <c r="F40" s="9"/>
      <c r="G40" s="39">
        <v>140</v>
      </c>
    </row>
    <row r="41" spans="1:9" x14ac:dyDescent="0.2">
      <c r="A41" t="s">
        <v>79</v>
      </c>
      <c r="B41" t="s">
        <v>80</v>
      </c>
      <c r="C41" t="s">
        <v>205</v>
      </c>
      <c r="D41" t="s">
        <v>81</v>
      </c>
      <c r="E41" t="s">
        <v>104</v>
      </c>
      <c r="F41" t="s">
        <v>106</v>
      </c>
      <c r="G41" s="37">
        <v>30</v>
      </c>
    </row>
    <row r="42" spans="1:9" x14ac:dyDescent="0.2">
      <c r="E42" t="s">
        <v>127</v>
      </c>
      <c r="F42" t="s">
        <v>128</v>
      </c>
      <c r="G42" s="37">
        <v>1</v>
      </c>
    </row>
    <row r="43" spans="1:9" x14ac:dyDescent="0.2">
      <c r="F43" t="s">
        <v>129</v>
      </c>
      <c r="G43" s="37">
        <v>63</v>
      </c>
    </row>
    <row r="44" spans="1:9" x14ac:dyDescent="0.2">
      <c r="E44" t="s">
        <v>65</v>
      </c>
      <c r="F44" t="s">
        <v>78</v>
      </c>
      <c r="G44" s="37">
        <v>19</v>
      </c>
    </row>
    <row r="45" spans="1:9" x14ac:dyDescent="0.2">
      <c r="E45" t="s">
        <v>4</v>
      </c>
      <c r="F45" t="s">
        <v>149</v>
      </c>
      <c r="G45" s="37">
        <v>51</v>
      </c>
    </row>
    <row r="46" spans="1:9" x14ac:dyDescent="0.2">
      <c r="C46" s="10" t="s">
        <v>273</v>
      </c>
      <c r="D46" s="10"/>
      <c r="E46" s="10"/>
      <c r="F46" s="10"/>
      <c r="G46" s="38">
        <v>164</v>
      </c>
    </row>
    <row r="47" spans="1:9" x14ac:dyDescent="0.2">
      <c r="C47" t="s">
        <v>206</v>
      </c>
      <c r="D47" t="s">
        <v>33</v>
      </c>
      <c r="E47" t="s">
        <v>127</v>
      </c>
      <c r="F47" t="s">
        <v>131</v>
      </c>
      <c r="G47" s="37">
        <v>20</v>
      </c>
      <c r="H47">
        <f>GETPIVOTDATA("Quantité échéancée",$A$3,"Article","PXCBC-F67008","Désignation","le neige","Couleurs","LZZ")-280</f>
        <v>289</v>
      </c>
      <c r="I47">
        <f>H47*67.8</f>
        <v>19594.2</v>
      </c>
    </row>
    <row r="48" spans="1:9" x14ac:dyDescent="0.2">
      <c r="E48" t="s">
        <v>65</v>
      </c>
      <c r="F48" t="s">
        <v>82</v>
      </c>
      <c r="G48" s="37">
        <v>9</v>
      </c>
    </row>
    <row r="49" spans="1:7" x14ac:dyDescent="0.2">
      <c r="E49" t="s">
        <v>4</v>
      </c>
      <c r="F49" t="s">
        <v>149</v>
      </c>
      <c r="G49" s="37">
        <v>21</v>
      </c>
    </row>
    <row r="50" spans="1:7" x14ac:dyDescent="0.2">
      <c r="C50" s="10" t="s">
        <v>274</v>
      </c>
      <c r="D50" s="10"/>
      <c r="E50" s="10"/>
      <c r="F50" s="10"/>
      <c r="G50" s="38">
        <v>50</v>
      </c>
    </row>
    <row r="51" spans="1:7" x14ac:dyDescent="0.2">
      <c r="C51" t="s">
        <v>204</v>
      </c>
      <c r="D51" t="s">
        <v>83</v>
      </c>
      <c r="E51" t="s">
        <v>65</v>
      </c>
      <c r="F51" t="s">
        <v>97</v>
      </c>
      <c r="G51" s="37">
        <v>1</v>
      </c>
    </row>
    <row r="52" spans="1:7" x14ac:dyDescent="0.2">
      <c r="E52" t="s">
        <v>4</v>
      </c>
      <c r="F52" t="s">
        <v>149</v>
      </c>
      <c r="G52" s="37">
        <v>71</v>
      </c>
    </row>
    <row r="53" spans="1:7" x14ac:dyDescent="0.2">
      <c r="C53" s="10" t="s">
        <v>253</v>
      </c>
      <c r="D53" s="10"/>
      <c r="E53" s="10"/>
      <c r="F53" s="10"/>
      <c r="G53" s="38">
        <v>72</v>
      </c>
    </row>
    <row r="54" spans="1:7" x14ac:dyDescent="0.2">
      <c r="A54" s="9" t="s">
        <v>257</v>
      </c>
      <c r="B54" s="9"/>
      <c r="C54" s="9"/>
      <c r="D54" s="9"/>
      <c r="E54" s="9"/>
      <c r="F54" s="9"/>
      <c r="G54" s="39">
        <v>286</v>
      </c>
    </row>
    <row r="55" spans="1:7" x14ac:dyDescent="0.2">
      <c r="A55" t="s">
        <v>85</v>
      </c>
      <c r="B55" t="s">
        <v>86</v>
      </c>
      <c r="C55" t="s">
        <v>207</v>
      </c>
      <c r="D55" t="s">
        <v>62</v>
      </c>
      <c r="E55" t="s">
        <v>104</v>
      </c>
      <c r="F55" t="s">
        <v>107</v>
      </c>
      <c r="G55" s="37">
        <v>45</v>
      </c>
    </row>
    <row r="56" spans="1:7" x14ac:dyDescent="0.2">
      <c r="E56" t="s">
        <v>65</v>
      </c>
      <c r="F56" t="s">
        <v>98</v>
      </c>
      <c r="G56" s="37">
        <v>3</v>
      </c>
    </row>
    <row r="57" spans="1:7" x14ac:dyDescent="0.2">
      <c r="E57" t="s">
        <v>4</v>
      </c>
      <c r="F57" t="s">
        <v>150</v>
      </c>
      <c r="G57" s="37">
        <v>1</v>
      </c>
    </row>
    <row r="58" spans="1:7" x14ac:dyDescent="0.2">
      <c r="C58" s="10" t="s">
        <v>275</v>
      </c>
      <c r="D58" s="10"/>
      <c r="E58" s="10"/>
      <c r="F58" s="10"/>
      <c r="G58" s="38">
        <v>49</v>
      </c>
    </row>
    <row r="59" spans="1:7" x14ac:dyDescent="0.2">
      <c r="C59" t="s">
        <v>204</v>
      </c>
      <c r="D59" t="s">
        <v>83</v>
      </c>
      <c r="E59" t="s">
        <v>127</v>
      </c>
      <c r="F59" t="s">
        <v>131</v>
      </c>
      <c r="G59" s="37">
        <v>30</v>
      </c>
    </row>
    <row r="60" spans="1:7" x14ac:dyDescent="0.2">
      <c r="E60" t="s">
        <v>65</v>
      </c>
      <c r="F60" t="s">
        <v>82</v>
      </c>
      <c r="G60" s="37">
        <v>16</v>
      </c>
    </row>
    <row r="61" spans="1:7" x14ac:dyDescent="0.2">
      <c r="E61" t="s">
        <v>4</v>
      </c>
      <c r="F61" t="s">
        <v>150</v>
      </c>
      <c r="G61" s="37">
        <v>4</v>
      </c>
    </row>
    <row r="62" spans="1:7" x14ac:dyDescent="0.2">
      <c r="C62" s="10" t="s">
        <v>253</v>
      </c>
      <c r="D62" s="10"/>
      <c r="E62" s="10"/>
      <c r="F62" s="10"/>
      <c r="G62" s="38">
        <v>50</v>
      </c>
    </row>
    <row r="63" spans="1:7" x14ac:dyDescent="0.2">
      <c r="A63" s="9" t="s">
        <v>258</v>
      </c>
      <c r="B63" s="9"/>
      <c r="C63" s="9"/>
      <c r="D63" s="9"/>
      <c r="E63" s="9"/>
      <c r="F63" s="9"/>
      <c r="G63" s="39">
        <v>99</v>
      </c>
    </row>
    <row r="64" spans="1:7" x14ac:dyDescent="0.2">
      <c r="A64" t="s">
        <v>61</v>
      </c>
      <c r="B64" t="s">
        <v>32</v>
      </c>
      <c r="C64" t="s">
        <v>250</v>
      </c>
      <c r="D64" t="s">
        <v>63</v>
      </c>
      <c r="E64" t="s">
        <v>4</v>
      </c>
      <c r="F64" t="s">
        <v>162</v>
      </c>
      <c r="G64" s="37">
        <v>87</v>
      </c>
    </row>
    <row r="65" spans="3:7" x14ac:dyDescent="0.2">
      <c r="F65" t="s">
        <v>60</v>
      </c>
      <c r="G65" s="37">
        <v>10</v>
      </c>
    </row>
    <row r="66" spans="3:7" x14ac:dyDescent="0.2">
      <c r="C66" s="10" t="s">
        <v>276</v>
      </c>
      <c r="D66" s="10"/>
      <c r="E66" s="10"/>
      <c r="F66" s="10"/>
      <c r="G66" s="38">
        <v>97</v>
      </c>
    </row>
    <row r="67" spans="3:7" x14ac:dyDescent="0.2">
      <c r="C67" t="s">
        <v>207</v>
      </c>
      <c r="D67" t="s">
        <v>62</v>
      </c>
      <c r="E67" t="s">
        <v>104</v>
      </c>
      <c r="F67" t="s">
        <v>108</v>
      </c>
      <c r="G67" s="37">
        <v>40</v>
      </c>
    </row>
    <row r="68" spans="3:7" x14ac:dyDescent="0.2">
      <c r="E68" t="s">
        <v>4</v>
      </c>
      <c r="F68" t="s">
        <v>162</v>
      </c>
      <c r="G68" s="37">
        <v>61</v>
      </c>
    </row>
    <row r="69" spans="3:7" x14ac:dyDescent="0.2">
      <c r="F69" t="s">
        <v>60</v>
      </c>
      <c r="G69" s="37">
        <v>10</v>
      </c>
    </row>
    <row r="70" spans="3:7" x14ac:dyDescent="0.2">
      <c r="C70" s="10" t="s">
        <v>275</v>
      </c>
      <c r="D70" s="10"/>
      <c r="E70" s="10"/>
      <c r="F70" s="10"/>
      <c r="G70" s="38">
        <v>111</v>
      </c>
    </row>
    <row r="71" spans="3:7" x14ac:dyDescent="0.2">
      <c r="C71" t="s">
        <v>206</v>
      </c>
      <c r="D71" t="s">
        <v>33</v>
      </c>
      <c r="E71" t="s">
        <v>118</v>
      </c>
      <c r="F71" t="s">
        <v>121</v>
      </c>
      <c r="G71" s="37">
        <v>40</v>
      </c>
    </row>
    <row r="72" spans="3:7" x14ac:dyDescent="0.2">
      <c r="E72" t="s">
        <v>127</v>
      </c>
      <c r="F72" t="s">
        <v>130</v>
      </c>
      <c r="G72" s="37">
        <v>48</v>
      </c>
    </row>
    <row r="73" spans="3:7" x14ac:dyDescent="0.2">
      <c r="E73" t="s">
        <v>65</v>
      </c>
      <c r="F73" t="s">
        <v>82</v>
      </c>
      <c r="G73" s="37">
        <v>16</v>
      </c>
    </row>
    <row r="74" spans="3:7" x14ac:dyDescent="0.2">
      <c r="E74" t="s">
        <v>4</v>
      </c>
      <c r="F74" t="s">
        <v>162</v>
      </c>
      <c r="G74" s="37">
        <v>76</v>
      </c>
    </row>
    <row r="75" spans="3:7" x14ac:dyDescent="0.2">
      <c r="F75" t="s">
        <v>60</v>
      </c>
      <c r="G75" s="37">
        <v>20</v>
      </c>
    </row>
    <row r="76" spans="3:7" x14ac:dyDescent="0.2">
      <c r="C76" s="10" t="s">
        <v>274</v>
      </c>
      <c r="D76" s="10"/>
      <c r="E76" s="10"/>
      <c r="F76" s="10"/>
      <c r="G76" s="38">
        <v>200</v>
      </c>
    </row>
    <row r="77" spans="3:7" x14ac:dyDescent="0.2">
      <c r="C77" t="s">
        <v>204</v>
      </c>
      <c r="D77" t="s">
        <v>83</v>
      </c>
      <c r="E77" t="s">
        <v>118</v>
      </c>
      <c r="F77" t="s">
        <v>121</v>
      </c>
      <c r="G77" s="37">
        <v>30</v>
      </c>
    </row>
    <row r="78" spans="3:7" x14ac:dyDescent="0.2">
      <c r="E78" t="s">
        <v>65</v>
      </c>
      <c r="F78" t="s">
        <v>82</v>
      </c>
      <c r="G78" s="37">
        <v>26</v>
      </c>
    </row>
    <row r="79" spans="3:7" x14ac:dyDescent="0.2">
      <c r="F79" t="s">
        <v>99</v>
      </c>
      <c r="G79" s="37">
        <v>326</v>
      </c>
    </row>
    <row r="80" spans="3:7" x14ac:dyDescent="0.2">
      <c r="E80" t="s">
        <v>4</v>
      </c>
      <c r="F80" t="s">
        <v>162</v>
      </c>
      <c r="G80" s="37">
        <v>187</v>
      </c>
    </row>
    <row r="81" spans="1:7" x14ac:dyDescent="0.2">
      <c r="C81" s="10" t="s">
        <v>253</v>
      </c>
      <c r="D81" s="10"/>
      <c r="E81" s="10"/>
      <c r="F81" s="10"/>
      <c r="G81" s="38">
        <v>569</v>
      </c>
    </row>
    <row r="82" spans="1:7" x14ac:dyDescent="0.2">
      <c r="A82" s="9" t="s">
        <v>259</v>
      </c>
      <c r="B82" s="9"/>
      <c r="C82" s="9"/>
      <c r="D82" s="9"/>
      <c r="E82" s="9"/>
      <c r="F82" s="9"/>
      <c r="G82" s="39">
        <v>977</v>
      </c>
    </row>
    <row r="83" spans="1:7" x14ac:dyDescent="0.2">
      <c r="A83" t="s">
        <v>88</v>
      </c>
      <c r="B83" t="s">
        <v>37</v>
      </c>
      <c r="C83" t="s">
        <v>250</v>
      </c>
      <c r="D83" t="s">
        <v>63</v>
      </c>
      <c r="E83" t="s">
        <v>127</v>
      </c>
      <c r="F83" t="s">
        <v>131</v>
      </c>
      <c r="G83" s="37">
        <v>23</v>
      </c>
    </row>
    <row r="84" spans="1:7" x14ac:dyDescent="0.2">
      <c r="E84" t="s">
        <v>4</v>
      </c>
      <c r="F84" t="s">
        <v>151</v>
      </c>
      <c r="G84" s="37">
        <v>42</v>
      </c>
    </row>
    <row r="85" spans="1:7" x14ac:dyDescent="0.2">
      <c r="C85" s="10" t="s">
        <v>276</v>
      </c>
      <c r="D85" s="10"/>
      <c r="E85" s="10"/>
      <c r="F85" s="10"/>
      <c r="G85" s="38">
        <v>65</v>
      </c>
    </row>
    <row r="86" spans="1:7" x14ac:dyDescent="0.2">
      <c r="C86" t="s">
        <v>205</v>
      </c>
      <c r="D86" t="s">
        <v>81</v>
      </c>
      <c r="E86" t="s">
        <v>104</v>
      </c>
      <c r="F86" t="s">
        <v>109</v>
      </c>
      <c r="G86" s="37">
        <v>20</v>
      </c>
    </row>
    <row r="87" spans="1:7" x14ac:dyDescent="0.2">
      <c r="E87" t="s">
        <v>127</v>
      </c>
      <c r="F87" t="s">
        <v>132</v>
      </c>
      <c r="G87" s="37">
        <v>92</v>
      </c>
    </row>
    <row r="88" spans="1:7" x14ac:dyDescent="0.2">
      <c r="E88" t="s">
        <v>65</v>
      </c>
      <c r="F88" t="s">
        <v>90</v>
      </c>
      <c r="G88" s="37">
        <v>30</v>
      </c>
    </row>
    <row r="89" spans="1:7" x14ac:dyDescent="0.2">
      <c r="E89" t="s">
        <v>4</v>
      </c>
      <c r="F89" t="s">
        <v>151</v>
      </c>
      <c r="G89" s="37">
        <v>66</v>
      </c>
    </row>
    <row r="90" spans="1:7" x14ac:dyDescent="0.2">
      <c r="C90" s="10" t="s">
        <v>273</v>
      </c>
      <c r="D90" s="10"/>
      <c r="E90" s="10"/>
      <c r="F90" s="10"/>
      <c r="G90" s="38">
        <v>208</v>
      </c>
    </row>
    <row r="91" spans="1:7" x14ac:dyDescent="0.2">
      <c r="C91" t="s">
        <v>207</v>
      </c>
      <c r="D91" t="s">
        <v>62</v>
      </c>
      <c r="E91" t="s">
        <v>127</v>
      </c>
      <c r="F91" t="s">
        <v>131</v>
      </c>
      <c r="G91" s="37">
        <v>41</v>
      </c>
    </row>
    <row r="92" spans="1:7" x14ac:dyDescent="0.2">
      <c r="E92" t="s">
        <v>65</v>
      </c>
      <c r="F92" t="s">
        <v>82</v>
      </c>
      <c r="G92" s="37">
        <v>13</v>
      </c>
    </row>
    <row r="93" spans="1:7" x14ac:dyDescent="0.2">
      <c r="E93" t="s">
        <v>4</v>
      </c>
      <c r="F93" t="s">
        <v>151</v>
      </c>
      <c r="G93" s="37">
        <v>15</v>
      </c>
    </row>
    <row r="94" spans="1:7" x14ac:dyDescent="0.2">
      <c r="C94" s="10" t="s">
        <v>275</v>
      </c>
      <c r="D94" s="10"/>
      <c r="E94" s="10"/>
      <c r="F94" s="10"/>
      <c r="G94" s="38">
        <v>69</v>
      </c>
    </row>
    <row r="95" spans="1:7" x14ac:dyDescent="0.2">
      <c r="C95" t="s">
        <v>206</v>
      </c>
      <c r="D95" t="s">
        <v>33</v>
      </c>
      <c r="E95" t="s">
        <v>118</v>
      </c>
      <c r="F95" t="s">
        <v>122</v>
      </c>
      <c r="G95" s="37">
        <v>40</v>
      </c>
    </row>
    <row r="96" spans="1:7" x14ac:dyDescent="0.2">
      <c r="E96" t="s">
        <v>4</v>
      </c>
      <c r="F96" t="s">
        <v>151</v>
      </c>
      <c r="G96" s="37">
        <v>13</v>
      </c>
    </row>
    <row r="97" spans="1:7" x14ac:dyDescent="0.2">
      <c r="C97" s="10" t="s">
        <v>274</v>
      </c>
      <c r="D97" s="10"/>
      <c r="E97" s="10"/>
      <c r="F97" s="10"/>
      <c r="G97" s="38">
        <v>53</v>
      </c>
    </row>
    <row r="98" spans="1:7" x14ac:dyDescent="0.2">
      <c r="C98" t="s">
        <v>204</v>
      </c>
      <c r="D98" t="s">
        <v>83</v>
      </c>
      <c r="E98" t="s">
        <v>104</v>
      </c>
      <c r="F98" t="s">
        <v>109</v>
      </c>
      <c r="G98" s="37">
        <v>1</v>
      </c>
    </row>
    <row r="99" spans="1:7" x14ac:dyDescent="0.2">
      <c r="E99" t="s">
        <v>4</v>
      </c>
      <c r="F99" t="s">
        <v>151</v>
      </c>
      <c r="G99" s="37">
        <v>76</v>
      </c>
    </row>
    <row r="100" spans="1:7" x14ac:dyDescent="0.2">
      <c r="C100" s="10" t="s">
        <v>253</v>
      </c>
      <c r="D100" s="10"/>
      <c r="E100" s="10"/>
      <c r="F100" s="10"/>
      <c r="G100" s="38">
        <v>77</v>
      </c>
    </row>
    <row r="101" spans="1:7" x14ac:dyDescent="0.2">
      <c r="A101" s="9" t="s">
        <v>260</v>
      </c>
      <c r="B101" s="9"/>
      <c r="C101" s="9"/>
      <c r="D101" s="9"/>
      <c r="E101" s="9"/>
      <c r="F101" s="9"/>
      <c r="G101" s="39">
        <v>472</v>
      </c>
    </row>
    <row r="102" spans="1:7" x14ac:dyDescent="0.2">
      <c r="A102" t="s">
        <v>134</v>
      </c>
      <c r="B102" t="s">
        <v>135</v>
      </c>
      <c r="C102" t="s">
        <v>208</v>
      </c>
      <c r="D102" t="s">
        <v>94</v>
      </c>
      <c r="E102" t="s">
        <v>127</v>
      </c>
      <c r="F102" t="s">
        <v>133</v>
      </c>
      <c r="G102" s="37">
        <v>28</v>
      </c>
    </row>
    <row r="103" spans="1:7" x14ac:dyDescent="0.2">
      <c r="E103" t="s">
        <v>4</v>
      </c>
      <c r="F103" t="s">
        <v>152</v>
      </c>
      <c r="G103" s="37">
        <v>22</v>
      </c>
    </row>
    <row r="104" spans="1:7" x14ac:dyDescent="0.2">
      <c r="C104" s="10" t="s">
        <v>278</v>
      </c>
      <c r="D104" s="10"/>
      <c r="E104" s="10"/>
      <c r="F104" s="10"/>
      <c r="G104" s="38">
        <v>50</v>
      </c>
    </row>
    <row r="105" spans="1:7" x14ac:dyDescent="0.2">
      <c r="C105" t="s">
        <v>204</v>
      </c>
      <c r="D105" t="s">
        <v>83</v>
      </c>
      <c r="E105" t="s">
        <v>127</v>
      </c>
      <c r="F105" t="s">
        <v>133</v>
      </c>
      <c r="G105" s="37">
        <v>1</v>
      </c>
    </row>
    <row r="106" spans="1:7" x14ac:dyDescent="0.2">
      <c r="E106" t="s">
        <v>4</v>
      </c>
      <c r="F106" t="s">
        <v>152</v>
      </c>
      <c r="G106" s="37">
        <v>42</v>
      </c>
    </row>
    <row r="107" spans="1:7" x14ac:dyDescent="0.2">
      <c r="C107" s="10" t="s">
        <v>253</v>
      </c>
      <c r="D107" s="10"/>
      <c r="E107" s="10"/>
      <c r="F107" s="10"/>
      <c r="G107" s="38">
        <v>43</v>
      </c>
    </row>
    <row r="108" spans="1:7" x14ac:dyDescent="0.2">
      <c r="A108" s="9" t="s">
        <v>261</v>
      </c>
      <c r="B108" s="9"/>
      <c r="C108" s="9"/>
      <c r="D108" s="9"/>
      <c r="E108" s="9"/>
      <c r="F108" s="9"/>
      <c r="G108" s="39">
        <v>93</v>
      </c>
    </row>
    <row r="109" spans="1:7" x14ac:dyDescent="0.2">
      <c r="A109" t="s">
        <v>92</v>
      </c>
      <c r="B109" t="s">
        <v>93</v>
      </c>
      <c r="C109" t="s">
        <v>208</v>
      </c>
      <c r="D109" t="s">
        <v>94</v>
      </c>
      <c r="E109" t="s">
        <v>104</v>
      </c>
      <c r="F109" t="s">
        <v>110</v>
      </c>
      <c r="G109" s="37">
        <v>1</v>
      </c>
    </row>
    <row r="110" spans="1:7" x14ac:dyDescent="0.2">
      <c r="E110" t="s">
        <v>127</v>
      </c>
      <c r="F110" t="s">
        <v>136</v>
      </c>
      <c r="G110" s="37">
        <v>2</v>
      </c>
    </row>
    <row r="111" spans="1:7" x14ac:dyDescent="0.2">
      <c r="F111" t="s">
        <v>137</v>
      </c>
      <c r="G111" s="37">
        <v>65</v>
      </c>
    </row>
    <row r="112" spans="1:7" x14ac:dyDescent="0.2">
      <c r="E112" t="s">
        <v>65</v>
      </c>
      <c r="F112" t="s">
        <v>91</v>
      </c>
      <c r="G112" s="37">
        <v>16</v>
      </c>
    </row>
    <row r="113" spans="1:7" x14ac:dyDescent="0.2">
      <c r="E113" t="s">
        <v>4</v>
      </c>
      <c r="F113" t="s">
        <v>153</v>
      </c>
      <c r="G113" s="37">
        <v>114</v>
      </c>
    </row>
    <row r="114" spans="1:7" x14ac:dyDescent="0.2">
      <c r="C114" s="10" t="s">
        <v>278</v>
      </c>
      <c r="D114" s="10"/>
      <c r="E114" s="10"/>
      <c r="F114" s="10"/>
      <c r="G114" s="38">
        <v>198</v>
      </c>
    </row>
    <row r="115" spans="1:7" x14ac:dyDescent="0.2">
      <c r="C115" t="s">
        <v>204</v>
      </c>
      <c r="D115" t="s">
        <v>83</v>
      </c>
      <c r="E115" t="s">
        <v>104</v>
      </c>
      <c r="F115" t="s">
        <v>110</v>
      </c>
      <c r="G115" s="37">
        <v>1</v>
      </c>
    </row>
    <row r="116" spans="1:7" x14ac:dyDescent="0.2">
      <c r="E116" t="s">
        <v>4</v>
      </c>
      <c r="F116" t="s">
        <v>153</v>
      </c>
      <c r="G116" s="37">
        <v>83</v>
      </c>
    </row>
    <row r="117" spans="1:7" x14ac:dyDescent="0.2">
      <c r="C117" s="10" t="s">
        <v>253</v>
      </c>
      <c r="D117" s="10"/>
      <c r="E117" s="10"/>
      <c r="F117" s="10"/>
      <c r="G117" s="38">
        <v>84</v>
      </c>
    </row>
    <row r="118" spans="1:7" x14ac:dyDescent="0.2">
      <c r="A118" s="9" t="s">
        <v>262</v>
      </c>
      <c r="B118" s="9"/>
      <c r="C118" s="9"/>
      <c r="D118" s="9"/>
      <c r="E118" s="9"/>
      <c r="F118" s="9"/>
      <c r="G118" s="39">
        <v>282</v>
      </c>
    </row>
    <row r="119" spans="1:7" x14ac:dyDescent="0.2">
      <c r="A119" t="s">
        <v>53</v>
      </c>
      <c r="B119" t="s">
        <v>44</v>
      </c>
      <c r="C119" t="s">
        <v>251</v>
      </c>
      <c r="D119" t="s">
        <v>57</v>
      </c>
      <c r="E119" t="s">
        <v>127</v>
      </c>
      <c r="F119" t="s">
        <v>138</v>
      </c>
      <c r="G119" s="37">
        <v>32</v>
      </c>
    </row>
    <row r="120" spans="1:7" x14ac:dyDescent="0.2">
      <c r="E120" t="s">
        <v>65</v>
      </c>
      <c r="F120" t="s">
        <v>95</v>
      </c>
      <c r="G120" s="37">
        <v>10</v>
      </c>
    </row>
    <row r="121" spans="1:7" x14ac:dyDescent="0.2">
      <c r="E121" t="s">
        <v>4</v>
      </c>
      <c r="F121" t="s">
        <v>154</v>
      </c>
      <c r="G121" s="37">
        <v>7</v>
      </c>
    </row>
    <row r="122" spans="1:7" x14ac:dyDescent="0.2">
      <c r="F122" t="s">
        <v>52</v>
      </c>
      <c r="G122" s="37">
        <v>1</v>
      </c>
    </row>
    <row r="123" spans="1:7" x14ac:dyDescent="0.2">
      <c r="D123" t="s">
        <v>56</v>
      </c>
      <c r="E123" t="s">
        <v>127</v>
      </c>
      <c r="F123" t="s">
        <v>138</v>
      </c>
      <c r="G123" s="37">
        <v>32</v>
      </c>
    </row>
    <row r="124" spans="1:7" x14ac:dyDescent="0.2">
      <c r="E124" t="s">
        <v>65</v>
      </c>
      <c r="F124" t="s">
        <v>95</v>
      </c>
      <c r="G124" s="37">
        <v>10</v>
      </c>
    </row>
    <row r="125" spans="1:7" x14ac:dyDescent="0.2">
      <c r="E125" t="s">
        <v>4</v>
      </c>
      <c r="F125" t="s">
        <v>154</v>
      </c>
      <c r="G125" s="37">
        <v>11</v>
      </c>
    </row>
    <row r="126" spans="1:7" x14ac:dyDescent="0.2">
      <c r="F126" t="s">
        <v>52</v>
      </c>
      <c r="G126" s="37">
        <v>2</v>
      </c>
    </row>
    <row r="127" spans="1:7" x14ac:dyDescent="0.2">
      <c r="D127" t="s">
        <v>55</v>
      </c>
      <c r="E127" t="s">
        <v>127</v>
      </c>
      <c r="F127" t="s">
        <v>138</v>
      </c>
      <c r="G127" s="37">
        <v>32</v>
      </c>
    </row>
    <row r="128" spans="1:7" x14ac:dyDescent="0.2">
      <c r="E128" t="s">
        <v>65</v>
      </c>
      <c r="F128" t="s">
        <v>95</v>
      </c>
      <c r="G128" s="37">
        <v>10</v>
      </c>
    </row>
    <row r="129" spans="1:7" x14ac:dyDescent="0.2">
      <c r="E129" t="s">
        <v>4</v>
      </c>
      <c r="F129" t="s">
        <v>154</v>
      </c>
      <c r="G129" s="37">
        <v>9</v>
      </c>
    </row>
    <row r="130" spans="1:7" x14ac:dyDescent="0.2">
      <c r="F130" t="s">
        <v>52</v>
      </c>
      <c r="G130" s="37">
        <v>1</v>
      </c>
    </row>
    <row r="131" spans="1:7" x14ac:dyDescent="0.2">
      <c r="D131" t="s">
        <v>54</v>
      </c>
      <c r="E131" t="s">
        <v>127</v>
      </c>
      <c r="F131" t="s">
        <v>138</v>
      </c>
      <c r="G131" s="37">
        <v>32</v>
      </c>
    </row>
    <row r="132" spans="1:7" x14ac:dyDescent="0.2">
      <c r="E132" t="s">
        <v>65</v>
      </c>
      <c r="F132" t="s">
        <v>95</v>
      </c>
      <c r="G132" s="37">
        <v>10</v>
      </c>
    </row>
    <row r="133" spans="1:7" x14ac:dyDescent="0.2">
      <c r="E133" t="s">
        <v>4</v>
      </c>
      <c r="F133" t="s">
        <v>154</v>
      </c>
      <c r="G133" s="37">
        <v>3</v>
      </c>
    </row>
    <row r="134" spans="1:7" x14ac:dyDescent="0.2">
      <c r="F134" t="s">
        <v>52</v>
      </c>
      <c r="G134" s="37">
        <v>1</v>
      </c>
    </row>
    <row r="135" spans="1:7" x14ac:dyDescent="0.2">
      <c r="C135" s="10" t="s">
        <v>279</v>
      </c>
      <c r="D135" s="10"/>
      <c r="E135" s="10"/>
      <c r="F135" s="10"/>
      <c r="G135" s="38">
        <v>203</v>
      </c>
    </row>
    <row r="136" spans="1:7" x14ac:dyDescent="0.2">
      <c r="A136" s="9" t="s">
        <v>263</v>
      </c>
      <c r="B136" s="9"/>
      <c r="C136" s="9"/>
      <c r="D136" s="9"/>
      <c r="E136" s="9"/>
      <c r="F136" s="9"/>
      <c r="G136" s="39">
        <v>203</v>
      </c>
    </row>
    <row r="137" spans="1:7" x14ac:dyDescent="0.2">
      <c r="A137" t="s">
        <v>115</v>
      </c>
      <c r="B137" t="s">
        <v>116</v>
      </c>
      <c r="C137" t="s">
        <v>209</v>
      </c>
      <c r="D137" t="s">
        <v>40</v>
      </c>
      <c r="E137" t="s">
        <v>104</v>
      </c>
      <c r="F137" t="s">
        <v>114</v>
      </c>
      <c r="G137" s="37">
        <v>2</v>
      </c>
    </row>
    <row r="138" spans="1:7" x14ac:dyDescent="0.2">
      <c r="E138" t="s">
        <v>118</v>
      </c>
      <c r="F138" t="s">
        <v>125</v>
      </c>
      <c r="G138" s="37">
        <v>35</v>
      </c>
    </row>
    <row r="139" spans="1:7" x14ac:dyDescent="0.2">
      <c r="E139" t="s">
        <v>127</v>
      </c>
      <c r="F139" t="s">
        <v>144</v>
      </c>
      <c r="G139" s="37">
        <v>3</v>
      </c>
    </row>
    <row r="140" spans="1:7" x14ac:dyDescent="0.2">
      <c r="E140" t="s">
        <v>4</v>
      </c>
      <c r="F140" t="s">
        <v>163</v>
      </c>
      <c r="G140" s="37">
        <v>103</v>
      </c>
    </row>
    <row r="141" spans="1:7" x14ac:dyDescent="0.2">
      <c r="C141" s="10" t="s">
        <v>277</v>
      </c>
      <c r="D141" s="10"/>
      <c r="E141" s="10"/>
      <c r="F141" s="10"/>
      <c r="G141" s="38">
        <v>143</v>
      </c>
    </row>
    <row r="142" spans="1:7" x14ac:dyDescent="0.2">
      <c r="C142" t="s">
        <v>206</v>
      </c>
      <c r="D142" t="s">
        <v>33</v>
      </c>
      <c r="E142" t="s">
        <v>118</v>
      </c>
      <c r="F142" t="s">
        <v>125</v>
      </c>
      <c r="G142" s="37">
        <v>35</v>
      </c>
    </row>
    <row r="143" spans="1:7" x14ac:dyDescent="0.2">
      <c r="E143" t="s">
        <v>4</v>
      </c>
      <c r="F143" t="s">
        <v>163</v>
      </c>
      <c r="G143" s="37">
        <v>79</v>
      </c>
    </row>
    <row r="144" spans="1:7" x14ac:dyDescent="0.2">
      <c r="C144" s="10" t="s">
        <v>274</v>
      </c>
      <c r="D144" s="10"/>
      <c r="E144" s="10"/>
      <c r="F144" s="10"/>
      <c r="G144" s="38">
        <v>114</v>
      </c>
    </row>
    <row r="145" spans="1:7" x14ac:dyDescent="0.2">
      <c r="A145" s="9" t="s">
        <v>264</v>
      </c>
      <c r="B145" s="9"/>
      <c r="C145" s="9"/>
      <c r="D145" s="9"/>
      <c r="E145" s="9"/>
      <c r="F145" s="9"/>
      <c r="G145" s="39">
        <v>257</v>
      </c>
    </row>
    <row r="146" spans="1:7" x14ac:dyDescent="0.2">
      <c r="A146" t="s">
        <v>156</v>
      </c>
      <c r="B146" t="s">
        <v>142</v>
      </c>
      <c r="C146" t="s">
        <v>206</v>
      </c>
      <c r="D146" t="s">
        <v>33</v>
      </c>
      <c r="E146" t="s">
        <v>4</v>
      </c>
      <c r="F146" t="s">
        <v>155</v>
      </c>
      <c r="G146" s="37">
        <v>52</v>
      </c>
    </row>
    <row r="147" spans="1:7" x14ac:dyDescent="0.2">
      <c r="C147" s="10" t="s">
        <v>274</v>
      </c>
      <c r="D147" s="10"/>
      <c r="E147" s="10"/>
      <c r="F147" s="10"/>
      <c r="G147" s="38">
        <v>52</v>
      </c>
    </row>
    <row r="148" spans="1:7" x14ac:dyDescent="0.2">
      <c r="A148" s="9" t="s">
        <v>265</v>
      </c>
      <c r="B148" s="9"/>
      <c r="C148" s="9"/>
      <c r="D148" s="9"/>
      <c r="E148" s="9"/>
      <c r="F148" s="9"/>
      <c r="G148" s="39">
        <v>52</v>
      </c>
    </row>
    <row r="149" spans="1:7" x14ac:dyDescent="0.2">
      <c r="A149" t="s">
        <v>101</v>
      </c>
      <c r="B149" t="s">
        <v>86</v>
      </c>
      <c r="C149" t="s">
        <v>209</v>
      </c>
      <c r="D149" t="s">
        <v>40</v>
      </c>
      <c r="E149" t="s">
        <v>104</v>
      </c>
      <c r="F149" t="s">
        <v>111</v>
      </c>
      <c r="G149" s="37">
        <v>40</v>
      </c>
    </row>
    <row r="150" spans="1:7" x14ac:dyDescent="0.2">
      <c r="E150" t="s">
        <v>65</v>
      </c>
      <c r="F150" t="s">
        <v>100</v>
      </c>
      <c r="G150" s="37">
        <v>3</v>
      </c>
    </row>
    <row r="151" spans="1:7" x14ac:dyDescent="0.2">
      <c r="E151" t="s">
        <v>4</v>
      </c>
      <c r="F151" t="s">
        <v>157</v>
      </c>
      <c r="G151" s="37">
        <v>10</v>
      </c>
    </row>
    <row r="152" spans="1:7" x14ac:dyDescent="0.2">
      <c r="C152" s="10" t="s">
        <v>277</v>
      </c>
      <c r="D152" s="10"/>
      <c r="E152" s="10"/>
      <c r="F152" s="10"/>
      <c r="G152" s="38">
        <v>53</v>
      </c>
    </row>
    <row r="153" spans="1:7" x14ac:dyDescent="0.2">
      <c r="A153" s="9" t="s">
        <v>266</v>
      </c>
      <c r="B153" s="9"/>
      <c r="C153" s="9"/>
      <c r="D153" s="9"/>
      <c r="E153" s="9"/>
      <c r="F153" s="9"/>
      <c r="G153" s="39">
        <v>53</v>
      </c>
    </row>
    <row r="154" spans="1:7" x14ac:dyDescent="0.2">
      <c r="A154" t="s">
        <v>31</v>
      </c>
      <c r="B154" t="s">
        <v>32</v>
      </c>
      <c r="C154" t="s">
        <v>209</v>
      </c>
      <c r="D154" t="s">
        <v>40</v>
      </c>
      <c r="E154" t="s">
        <v>4</v>
      </c>
      <c r="F154" t="s">
        <v>158</v>
      </c>
      <c r="G154" s="37">
        <v>77</v>
      </c>
    </row>
    <row r="155" spans="1:7" x14ac:dyDescent="0.2">
      <c r="C155" s="10" t="s">
        <v>277</v>
      </c>
      <c r="D155" s="10"/>
      <c r="E155" s="10"/>
      <c r="F155" s="10"/>
      <c r="G155" s="38">
        <v>77</v>
      </c>
    </row>
    <row r="156" spans="1:7" x14ac:dyDescent="0.2">
      <c r="C156" t="s">
        <v>206</v>
      </c>
      <c r="D156" t="s">
        <v>33</v>
      </c>
      <c r="E156" t="s">
        <v>104</v>
      </c>
      <c r="F156" t="s">
        <v>112</v>
      </c>
      <c r="G156" s="37">
        <v>11</v>
      </c>
    </row>
    <row r="157" spans="1:7" x14ac:dyDescent="0.2">
      <c r="E157" t="s">
        <v>118</v>
      </c>
      <c r="F157" t="s">
        <v>123</v>
      </c>
      <c r="G157" s="37">
        <v>40</v>
      </c>
    </row>
    <row r="158" spans="1:7" x14ac:dyDescent="0.2">
      <c r="E158" t="s">
        <v>65</v>
      </c>
      <c r="F158" t="s">
        <v>102</v>
      </c>
      <c r="G158" s="37">
        <v>1</v>
      </c>
    </row>
    <row r="159" spans="1:7" x14ac:dyDescent="0.2">
      <c r="E159" t="s">
        <v>4</v>
      </c>
      <c r="F159" t="s">
        <v>158</v>
      </c>
      <c r="G159" s="37">
        <v>82</v>
      </c>
    </row>
    <row r="160" spans="1:7" x14ac:dyDescent="0.2">
      <c r="F160" t="s">
        <v>30</v>
      </c>
      <c r="G160" s="37">
        <v>18</v>
      </c>
    </row>
    <row r="161" spans="1:7" x14ac:dyDescent="0.2">
      <c r="C161" s="10" t="s">
        <v>274</v>
      </c>
      <c r="D161" s="10"/>
      <c r="E161" s="10"/>
      <c r="F161" s="10"/>
      <c r="G161" s="38">
        <v>152</v>
      </c>
    </row>
    <row r="162" spans="1:7" x14ac:dyDescent="0.2">
      <c r="A162" s="9" t="s">
        <v>267</v>
      </c>
      <c r="B162" s="9"/>
      <c r="C162" s="9"/>
      <c r="D162" s="9"/>
      <c r="E162" s="9"/>
      <c r="F162" s="9"/>
      <c r="G162" s="39">
        <v>229</v>
      </c>
    </row>
    <row r="163" spans="1:7" x14ac:dyDescent="0.2">
      <c r="A163" t="s">
        <v>36</v>
      </c>
      <c r="B163" t="s">
        <v>37</v>
      </c>
      <c r="C163" t="s">
        <v>206</v>
      </c>
      <c r="D163" t="s">
        <v>33</v>
      </c>
      <c r="E163" t="s">
        <v>118</v>
      </c>
      <c r="F163" t="s">
        <v>124</v>
      </c>
      <c r="G163" s="37">
        <v>40</v>
      </c>
    </row>
    <row r="164" spans="1:7" x14ac:dyDescent="0.2">
      <c r="E164" t="s">
        <v>127</v>
      </c>
      <c r="F164" t="s">
        <v>139</v>
      </c>
      <c r="G164" s="37">
        <v>1</v>
      </c>
    </row>
    <row r="165" spans="1:7" x14ac:dyDescent="0.2">
      <c r="E165" t="s">
        <v>4</v>
      </c>
      <c r="F165" t="s">
        <v>159</v>
      </c>
      <c r="G165" s="37">
        <v>86</v>
      </c>
    </row>
    <row r="166" spans="1:7" x14ac:dyDescent="0.2">
      <c r="F166" t="s">
        <v>35</v>
      </c>
      <c r="G166" s="37">
        <v>14</v>
      </c>
    </row>
    <row r="167" spans="1:7" x14ac:dyDescent="0.2">
      <c r="F167" t="s">
        <v>58</v>
      </c>
      <c r="G167" s="37">
        <v>20</v>
      </c>
    </row>
    <row r="168" spans="1:7" x14ac:dyDescent="0.2">
      <c r="C168" s="10" t="s">
        <v>274</v>
      </c>
      <c r="D168" s="10"/>
      <c r="E168" s="10"/>
      <c r="F168" s="10"/>
      <c r="G168" s="38">
        <v>161</v>
      </c>
    </row>
    <row r="169" spans="1:7" x14ac:dyDescent="0.2">
      <c r="A169" s="9" t="s">
        <v>268</v>
      </c>
      <c r="B169" s="9"/>
      <c r="C169" s="9"/>
      <c r="D169" s="9"/>
      <c r="E169" s="9"/>
      <c r="F169" s="9"/>
      <c r="G169" s="39">
        <v>161</v>
      </c>
    </row>
    <row r="170" spans="1:7" x14ac:dyDescent="0.2">
      <c r="A170" t="s">
        <v>141</v>
      </c>
      <c r="B170" t="s">
        <v>142</v>
      </c>
      <c r="C170" t="s">
        <v>209</v>
      </c>
      <c r="D170" t="s">
        <v>40</v>
      </c>
      <c r="E170" t="s">
        <v>127</v>
      </c>
      <c r="F170" t="s">
        <v>140</v>
      </c>
      <c r="G170" s="37">
        <v>2</v>
      </c>
    </row>
    <row r="171" spans="1:7" x14ac:dyDescent="0.2">
      <c r="E171" t="s">
        <v>4</v>
      </c>
      <c r="F171" t="s">
        <v>160</v>
      </c>
      <c r="G171" s="37">
        <v>59</v>
      </c>
    </row>
    <row r="172" spans="1:7" x14ac:dyDescent="0.2">
      <c r="C172" s="10" t="s">
        <v>277</v>
      </c>
      <c r="D172" s="10"/>
      <c r="E172" s="10"/>
      <c r="F172" s="10"/>
      <c r="G172" s="38">
        <v>61</v>
      </c>
    </row>
    <row r="173" spans="1:7" x14ac:dyDescent="0.2">
      <c r="A173" s="9" t="s">
        <v>269</v>
      </c>
      <c r="B173" s="9"/>
      <c r="C173" s="9"/>
      <c r="D173" s="9"/>
      <c r="E173" s="9"/>
      <c r="F173" s="9"/>
      <c r="G173" s="39">
        <v>61</v>
      </c>
    </row>
    <row r="174" spans="1:7" x14ac:dyDescent="0.2">
      <c r="A174" t="s">
        <v>39</v>
      </c>
      <c r="B174" t="s">
        <v>37</v>
      </c>
      <c r="C174" t="s">
        <v>209</v>
      </c>
      <c r="D174" t="s">
        <v>40</v>
      </c>
      <c r="E174" t="s">
        <v>104</v>
      </c>
      <c r="F174" t="s">
        <v>113</v>
      </c>
      <c r="G174" s="37">
        <v>35</v>
      </c>
    </row>
    <row r="175" spans="1:7" x14ac:dyDescent="0.2">
      <c r="E175" t="s">
        <v>127</v>
      </c>
      <c r="F175" t="s">
        <v>143</v>
      </c>
      <c r="G175" s="37">
        <v>2</v>
      </c>
    </row>
    <row r="176" spans="1:7" x14ac:dyDescent="0.2">
      <c r="E176" t="s">
        <v>4</v>
      </c>
      <c r="F176" t="s">
        <v>161</v>
      </c>
      <c r="G176" s="37">
        <v>119</v>
      </c>
    </row>
    <row r="177" spans="1:7" x14ac:dyDescent="0.2">
      <c r="F177" t="s">
        <v>38</v>
      </c>
      <c r="G177" s="37">
        <v>8</v>
      </c>
    </row>
    <row r="178" spans="1:7" x14ac:dyDescent="0.2">
      <c r="F178" t="s">
        <v>59</v>
      </c>
      <c r="G178" s="37">
        <v>20</v>
      </c>
    </row>
    <row r="179" spans="1:7" x14ac:dyDescent="0.2">
      <c r="C179" s="10" t="s">
        <v>277</v>
      </c>
      <c r="D179" s="10"/>
      <c r="E179" s="10"/>
      <c r="F179" s="10"/>
      <c r="G179" s="38">
        <v>184</v>
      </c>
    </row>
    <row r="180" spans="1:7" x14ac:dyDescent="0.2">
      <c r="A180" s="9" t="s">
        <v>270</v>
      </c>
      <c r="B180" s="9"/>
      <c r="C180" s="9"/>
      <c r="D180" s="9"/>
      <c r="E180" s="9"/>
      <c r="F180" s="9"/>
      <c r="G180" s="39">
        <v>184</v>
      </c>
    </row>
    <row r="181" spans="1:7" x14ac:dyDescent="0.2">
      <c r="A181" t="s">
        <v>271</v>
      </c>
      <c r="G181" s="37"/>
    </row>
    <row r="182" spans="1:7" x14ac:dyDescent="0.2">
      <c r="A182" t="s">
        <v>272</v>
      </c>
      <c r="G182" s="37">
        <v>3641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0802-8248-44EF-B9BE-B7B586E80515}">
  <dimension ref="A3:E36"/>
  <sheetViews>
    <sheetView showGridLines="0" topLeftCell="A2" zoomScale="115" zoomScaleNormal="115" workbookViewId="0">
      <selection activeCell="B25" sqref="B25"/>
    </sheetView>
  </sheetViews>
  <sheetFormatPr baseColWidth="10" defaultColWidth="11.42578125" defaultRowHeight="12.75" x14ac:dyDescent="0.2"/>
  <cols>
    <col min="1" max="1" width="24.7109375" bestFit="1" customWidth="1"/>
    <col min="2" max="2" width="18.5703125" bestFit="1" customWidth="1"/>
    <col min="3" max="3" width="10" customWidth="1"/>
    <col min="4" max="4" width="14.28515625" customWidth="1"/>
    <col min="5" max="5" width="13.42578125" bestFit="1" customWidth="1"/>
  </cols>
  <sheetData>
    <row r="3" spans="1:5" x14ac:dyDescent="0.2">
      <c r="A3" s="11" t="s">
        <v>241</v>
      </c>
      <c r="B3" s="11" t="s">
        <v>203</v>
      </c>
      <c r="C3" s="12" t="s">
        <v>248</v>
      </c>
      <c r="D3" s="28" t="s">
        <v>245</v>
      </c>
      <c r="E3" s="19" t="s">
        <v>244</v>
      </c>
    </row>
    <row r="4" spans="1:5" x14ac:dyDescent="0.2">
      <c r="A4" s="12" t="s">
        <v>9</v>
      </c>
      <c r="B4" s="12" t="s">
        <v>211</v>
      </c>
      <c r="C4" s="12">
        <v>62</v>
      </c>
      <c r="D4" s="29" t="s">
        <v>246</v>
      </c>
      <c r="E4" s="43">
        <v>31.95</v>
      </c>
    </row>
    <row r="5" spans="1:5" x14ac:dyDescent="0.2">
      <c r="A5" s="12"/>
      <c r="B5" s="12" t="s">
        <v>212</v>
      </c>
      <c r="C5" s="12">
        <v>78</v>
      </c>
      <c r="D5" s="26"/>
      <c r="E5" s="44"/>
    </row>
    <row r="6" spans="1:5" x14ac:dyDescent="0.2">
      <c r="A6" s="12" t="s">
        <v>44</v>
      </c>
      <c r="B6" s="12" t="s">
        <v>210</v>
      </c>
      <c r="C6" s="12">
        <v>92</v>
      </c>
      <c r="D6" s="29" t="s">
        <v>247</v>
      </c>
      <c r="E6" s="14">
        <v>22.9</v>
      </c>
    </row>
    <row r="7" spans="1:5" x14ac:dyDescent="0.2">
      <c r="A7" s="12"/>
      <c r="B7" s="12" t="s">
        <v>231</v>
      </c>
      <c r="C7" s="12">
        <v>203</v>
      </c>
      <c r="D7" s="29" t="s">
        <v>247</v>
      </c>
      <c r="E7" s="16">
        <v>22.6</v>
      </c>
    </row>
    <row r="8" spans="1:5" x14ac:dyDescent="0.2">
      <c r="A8" s="12" t="s">
        <v>142</v>
      </c>
      <c r="B8" s="12" t="s">
        <v>234</v>
      </c>
      <c r="C8" s="12">
        <v>52</v>
      </c>
      <c r="D8" s="30" t="s">
        <v>246</v>
      </c>
      <c r="E8" s="15">
        <v>41.8</v>
      </c>
    </row>
    <row r="9" spans="1:5" x14ac:dyDescent="0.2">
      <c r="A9" s="12"/>
      <c r="B9" s="12" t="s">
        <v>239</v>
      </c>
      <c r="C9" s="12">
        <v>61</v>
      </c>
      <c r="D9" s="35" t="s">
        <v>247</v>
      </c>
      <c r="E9" s="20">
        <v>42.62</v>
      </c>
    </row>
    <row r="10" spans="1:5" x14ac:dyDescent="0.2">
      <c r="A10" s="12" t="s">
        <v>32</v>
      </c>
      <c r="B10" s="12" t="s">
        <v>218</v>
      </c>
      <c r="C10" s="31">
        <v>97</v>
      </c>
      <c r="D10" s="25"/>
      <c r="E10" s="45">
        <v>67.8</v>
      </c>
    </row>
    <row r="11" spans="1:5" x14ac:dyDescent="0.2">
      <c r="A11" s="12"/>
      <c r="B11" s="12" t="s">
        <v>219</v>
      </c>
      <c r="C11" s="31">
        <v>111</v>
      </c>
      <c r="D11" s="27"/>
      <c r="E11" s="45"/>
    </row>
    <row r="12" spans="1:5" x14ac:dyDescent="0.2">
      <c r="A12" s="12"/>
      <c r="B12" s="12" t="s">
        <v>220</v>
      </c>
      <c r="C12" s="31">
        <v>200</v>
      </c>
      <c r="D12" s="27"/>
      <c r="E12" s="45"/>
    </row>
    <row r="13" spans="1:5" x14ac:dyDescent="0.2">
      <c r="A13" s="12"/>
      <c r="B13" s="12" t="s">
        <v>221</v>
      </c>
      <c r="C13" s="31">
        <v>569</v>
      </c>
      <c r="D13" s="26"/>
      <c r="E13" s="45"/>
    </row>
    <row r="14" spans="1:5" x14ac:dyDescent="0.2">
      <c r="A14" s="12"/>
      <c r="B14" s="12" t="s">
        <v>236</v>
      </c>
      <c r="C14" s="12">
        <v>77</v>
      </c>
      <c r="D14" s="27"/>
      <c r="E14" s="21">
        <v>85</v>
      </c>
    </row>
    <row r="15" spans="1:5" x14ac:dyDescent="0.2">
      <c r="A15" s="12"/>
      <c r="B15" s="12" t="s">
        <v>237</v>
      </c>
      <c r="C15" s="12">
        <v>152</v>
      </c>
      <c r="D15" s="26"/>
      <c r="E15" s="22"/>
    </row>
    <row r="16" spans="1:5" x14ac:dyDescent="0.2">
      <c r="A16" s="12" t="s">
        <v>37</v>
      </c>
      <c r="B16" s="12" t="s">
        <v>222</v>
      </c>
      <c r="C16" s="12">
        <v>65</v>
      </c>
      <c r="D16" s="30" t="s">
        <v>246</v>
      </c>
      <c r="E16" s="15">
        <v>66.5</v>
      </c>
    </row>
    <row r="17" spans="1:5" x14ac:dyDescent="0.2">
      <c r="A17" s="12"/>
      <c r="B17" s="12" t="s">
        <v>223</v>
      </c>
      <c r="C17" s="12">
        <v>208</v>
      </c>
      <c r="D17" s="27"/>
      <c r="E17" s="23"/>
    </row>
    <row r="18" spans="1:5" x14ac:dyDescent="0.2">
      <c r="A18" s="12"/>
      <c r="B18" s="12" t="s">
        <v>224</v>
      </c>
      <c r="C18" s="12">
        <v>69</v>
      </c>
      <c r="D18" s="27"/>
      <c r="E18" s="23"/>
    </row>
    <row r="19" spans="1:5" x14ac:dyDescent="0.2">
      <c r="A19" s="12"/>
      <c r="B19" s="12" t="s">
        <v>225</v>
      </c>
      <c r="C19" s="12">
        <v>53</v>
      </c>
      <c r="D19" s="27"/>
      <c r="E19" s="23"/>
    </row>
    <row r="20" spans="1:5" x14ac:dyDescent="0.2">
      <c r="A20" s="12"/>
      <c r="B20" s="12" t="s">
        <v>226</v>
      </c>
      <c r="C20" s="12">
        <v>77</v>
      </c>
      <c r="D20" s="26"/>
      <c r="E20" s="22"/>
    </row>
    <row r="21" spans="1:5" x14ac:dyDescent="0.2">
      <c r="A21" s="12"/>
      <c r="B21" s="12" t="s">
        <v>238</v>
      </c>
      <c r="C21" s="12">
        <v>161</v>
      </c>
      <c r="D21" s="30" t="s">
        <v>246</v>
      </c>
      <c r="E21" s="16">
        <v>89.5</v>
      </c>
    </row>
    <row r="22" spans="1:5" x14ac:dyDescent="0.2">
      <c r="A22" s="12"/>
      <c r="B22" s="12" t="s">
        <v>240</v>
      </c>
      <c r="C22" s="12">
        <v>184</v>
      </c>
      <c r="D22" s="29" t="s">
        <v>247</v>
      </c>
      <c r="E22" s="18">
        <v>90.3</v>
      </c>
    </row>
    <row r="23" spans="1:5" x14ac:dyDescent="0.2">
      <c r="A23" s="12" t="s">
        <v>86</v>
      </c>
      <c r="B23" s="12" t="s">
        <v>216</v>
      </c>
      <c r="C23" s="12">
        <v>49</v>
      </c>
      <c r="D23" s="29" t="s">
        <v>246</v>
      </c>
      <c r="E23" s="14">
        <v>28.8</v>
      </c>
    </row>
    <row r="24" spans="1:5" x14ac:dyDescent="0.2">
      <c r="A24" s="12"/>
      <c r="B24" s="12" t="s">
        <v>217</v>
      </c>
      <c r="C24" s="12">
        <v>50</v>
      </c>
      <c r="D24" s="26"/>
      <c r="E24" s="22"/>
    </row>
    <row r="25" spans="1:5" x14ac:dyDescent="0.2">
      <c r="A25" s="12"/>
      <c r="B25" s="12" t="s">
        <v>235</v>
      </c>
      <c r="C25" s="12">
        <v>53</v>
      </c>
      <c r="D25" s="30" t="s">
        <v>246</v>
      </c>
      <c r="E25" s="24">
        <v>29</v>
      </c>
    </row>
    <row r="26" spans="1:5" x14ac:dyDescent="0.2">
      <c r="A26" s="12" t="s">
        <v>116</v>
      </c>
      <c r="B26" s="12" t="s">
        <v>232</v>
      </c>
      <c r="C26" s="12">
        <v>143</v>
      </c>
      <c r="D26" s="29" t="s">
        <v>247</v>
      </c>
      <c r="E26" s="14">
        <v>81</v>
      </c>
    </row>
    <row r="27" spans="1:5" x14ac:dyDescent="0.2">
      <c r="A27" s="12"/>
      <c r="B27" s="12" t="s">
        <v>233</v>
      </c>
      <c r="C27" s="12">
        <v>114</v>
      </c>
      <c r="D27" s="26"/>
      <c r="E27" s="22"/>
    </row>
    <row r="28" spans="1:5" x14ac:dyDescent="0.2">
      <c r="A28" s="12" t="s">
        <v>93</v>
      </c>
      <c r="B28" s="12" t="s">
        <v>229</v>
      </c>
      <c r="C28" s="12">
        <v>198</v>
      </c>
      <c r="D28" s="29" t="s">
        <v>247</v>
      </c>
      <c r="E28" s="15">
        <v>79</v>
      </c>
    </row>
    <row r="29" spans="1:5" x14ac:dyDescent="0.2">
      <c r="A29" s="12"/>
      <c r="B29" s="12" t="s">
        <v>230</v>
      </c>
      <c r="C29" s="12">
        <v>84</v>
      </c>
      <c r="D29" s="27"/>
      <c r="E29" s="23"/>
    </row>
    <row r="30" spans="1:5" x14ac:dyDescent="0.2">
      <c r="A30" s="12" t="s">
        <v>80</v>
      </c>
      <c r="B30" s="12" t="s">
        <v>213</v>
      </c>
      <c r="C30" s="12">
        <v>164</v>
      </c>
      <c r="D30" s="29" t="s">
        <v>246</v>
      </c>
      <c r="E30" s="34">
        <v>41.5</v>
      </c>
    </row>
    <row r="31" spans="1:5" x14ac:dyDescent="0.2">
      <c r="A31" s="12"/>
      <c r="B31" s="12" t="s">
        <v>214</v>
      </c>
      <c r="C31" s="12">
        <v>50</v>
      </c>
      <c r="D31" s="25"/>
      <c r="E31" s="17"/>
    </row>
    <row r="32" spans="1:5" x14ac:dyDescent="0.2">
      <c r="A32" s="12"/>
      <c r="B32" s="12" t="s">
        <v>215</v>
      </c>
      <c r="C32" s="12">
        <v>72</v>
      </c>
      <c r="D32" s="26"/>
      <c r="E32" s="22"/>
    </row>
    <row r="33" spans="1:5" x14ac:dyDescent="0.2">
      <c r="A33" s="12" t="s">
        <v>135</v>
      </c>
      <c r="B33" s="12" t="s">
        <v>227</v>
      </c>
      <c r="C33" s="12">
        <v>50</v>
      </c>
      <c r="D33" s="29" t="s">
        <v>247</v>
      </c>
      <c r="E33" s="32">
        <v>108</v>
      </c>
    </row>
    <row r="34" spans="1:5" x14ac:dyDescent="0.2">
      <c r="A34" s="12"/>
      <c r="B34" s="12" t="s">
        <v>228</v>
      </c>
      <c r="C34" s="12">
        <v>43</v>
      </c>
      <c r="D34" s="26"/>
      <c r="E34" s="33"/>
    </row>
    <row r="35" spans="1:5" x14ac:dyDescent="0.2">
      <c r="A35" s="12" t="s">
        <v>243</v>
      </c>
      <c r="B35" s="12" t="s">
        <v>243</v>
      </c>
      <c r="C35" s="12"/>
      <c r="E35" s="13"/>
    </row>
    <row r="36" spans="1:5" x14ac:dyDescent="0.2">
      <c r="A36" s="12" t="s">
        <v>242</v>
      </c>
      <c r="B36" s="12"/>
      <c r="C36" s="12">
        <v>3641</v>
      </c>
      <c r="E36" s="13"/>
    </row>
  </sheetData>
  <mergeCells count="2">
    <mergeCell ref="E4:E5"/>
    <mergeCell ref="E10:E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1"/>
  <sheetViews>
    <sheetView workbookViewId="0">
      <selection sqref="A1:XFD1048576"/>
    </sheetView>
  </sheetViews>
  <sheetFormatPr baseColWidth="10" defaultColWidth="8.7109375" defaultRowHeight="12.75" x14ac:dyDescent="0.2"/>
  <cols>
    <col min="1" max="1" width="5" bestFit="1" customWidth="1"/>
    <col min="2" max="2" width="12" bestFit="1" customWidth="1"/>
    <col min="3" max="3" width="18" bestFit="1" customWidth="1"/>
    <col min="4" max="4" width="17" bestFit="1" customWidth="1"/>
    <col min="5" max="5" width="13" bestFit="1" customWidth="1"/>
    <col min="6" max="6" width="11" bestFit="1" customWidth="1"/>
    <col min="7" max="7" width="30" bestFit="1" customWidth="1"/>
    <col min="8" max="8" width="18" bestFit="1" customWidth="1"/>
    <col min="9" max="9" width="18" customWidth="1"/>
    <col min="10" max="10" width="14" bestFit="1" customWidth="1"/>
    <col min="11" max="11" width="24" bestFit="1" customWidth="1"/>
    <col min="12" max="12" width="10" bestFit="1" customWidth="1"/>
    <col min="13" max="13" width="9" bestFit="1" customWidth="1"/>
    <col min="14" max="14" width="9" customWidth="1"/>
    <col min="15" max="15" width="8" customWidth="1"/>
    <col min="16" max="16" width="16" bestFit="1" customWidth="1"/>
    <col min="17" max="17" width="13" bestFit="1" customWidth="1"/>
    <col min="18" max="18" width="21" bestFit="1" customWidth="1"/>
    <col min="19" max="19" width="7" bestFit="1" customWidth="1"/>
    <col min="20" max="20" width="18" bestFit="1" customWidth="1"/>
    <col min="21" max="21" width="9" bestFit="1" customWidth="1"/>
    <col min="22" max="22" width="8" bestFit="1" customWidth="1"/>
    <col min="23" max="24" width="6" bestFit="1" customWidth="1"/>
    <col min="25" max="25" width="13" bestFit="1" customWidth="1"/>
    <col min="26" max="26" width="10" bestFit="1" customWidth="1"/>
    <col min="27" max="27" width="9" bestFit="1" customWidth="1"/>
    <col min="28" max="28" width="13" bestFit="1" customWidth="1"/>
    <col min="29" max="29" width="7" bestFit="1" customWidth="1"/>
    <col min="30" max="30" width="8" bestFit="1" customWidth="1"/>
    <col min="31" max="31" width="13" bestFit="1" customWidth="1"/>
    <col min="32" max="32" width="10" bestFit="1" customWidth="1"/>
    <col min="33" max="33" width="15" bestFit="1" customWidth="1"/>
    <col min="34" max="34" width="14" bestFit="1" customWidth="1"/>
    <col min="35" max="35" width="8" bestFit="1" customWidth="1"/>
    <col min="36" max="36" width="21" bestFit="1" customWidth="1"/>
    <col min="37" max="37" width="15" bestFit="1" customWidth="1"/>
    <col min="38" max="38" width="13" bestFit="1" customWidth="1"/>
    <col min="39" max="40" width="23" bestFit="1" customWidth="1"/>
    <col min="41" max="41" width="6" bestFit="1" customWidth="1"/>
  </cols>
  <sheetData>
    <row r="1" spans="1:41" ht="63.75" x14ac:dyDescent="0.2">
      <c r="A1" s="6" t="s">
        <v>164</v>
      </c>
      <c r="B1" s="1" t="s">
        <v>165</v>
      </c>
      <c r="C1" s="1" t="s">
        <v>166</v>
      </c>
      <c r="D1" s="1" t="s">
        <v>167</v>
      </c>
      <c r="E1" s="6" t="s">
        <v>168</v>
      </c>
      <c r="F1" s="6" t="s">
        <v>169</v>
      </c>
      <c r="G1" s="1" t="s">
        <v>170</v>
      </c>
      <c r="H1" s="1" t="s">
        <v>171</v>
      </c>
      <c r="I1" s="1" t="s">
        <v>203</v>
      </c>
      <c r="J1" s="1" t="s">
        <v>172</v>
      </c>
      <c r="K1" s="1" t="s">
        <v>173</v>
      </c>
      <c r="L1" s="1" t="s">
        <v>174</v>
      </c>
      <c r="M1" s="6" t="s">
        <v>175</v>
      </c>
      <c r="N1" s="6" t="s">
        <v>202</v>
      </c>
      <c r="O1" s="6" t="s">
        <v>176</v>
      </c>
      <c r="P1" s="1" t="s">
        <v>177</v>
      </c>
      <c r="Q1" s="1" t="s">
        <v>178</v>
      </c>
      <c r="R1" s="1" t="s">
        <v>179</v>
      </c>
      <c r="S1" s="1" t="s">
        <v>180</v>
      </c>
      <c r="T1" s="1" t="s">
        <v>181</v>
      </c>
      <c r="U1" s="6" t="s">
        <v>182</v>
      </c>
      <c r="V1" s="1" t="s">
        <v>183</v>
      </c>
      <c r="W1" s="6" t="s">
        <v>184</v>
      </c>
      <c r="X1" s="6" t="s">
        <v>185</v>
      </c>
      <c r="Y1" s="6" t="s">
        <v>186</v>
      </c>
      <c r="Z1" s="1" t="s">
        <v>187</v>
      </c>
      <c r="AA1" s="1" t="s">
        <v>188</v>
      </c>
      <c r="AB1" s="1" t="s">
        <v>189</v>
      </c>
      <c r="AC1" s="1" t="s">
        <v>190</v>
      </c>
      <c r="AD1" s="1" t="s">
        <v>191</v>
      </c>
      <c r="AE1" s="6" t="s">
        <v>192</v>
      </c>
      <c r="AF1" s="6" t="s">
        <v>193</v>
      </c>
      <c r="AG1" s="6" t="s">
        <v>194</v>
      </c>
      <c r="AH1" s="1" t="s">
        <v>195</v>
      </c>
      <c r="AI1" s="1" t="s">
        <v>196</v>
      </c>
      <c r="AJ1" s="1" t="s">
        <v>197</v>
      </c>
      <c r="AK1" s="1" t="s">
        <v>198</v>
      </c>
      <c r="AL1" s="1" t="s">
        <v>199</v>
      </c>
      <c r="AM1" s="1" t="s">
        <v>200</v>
      </c>
      <c r="AN1" s="1" t="s">
        <v>200</v>
      </c>
      <c r="AO1" s="6" t="s">
        <v>201</v>
      </c>
    </row>
    <row r="2" spans="1:4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tr">
        <f>J2&amp;N2</f>
        <v>PXBHZ-H65077LZZ</v>
      </c>
      <c r="J2" t="s">
        <v>8</v>
      </c>
      <c r="K2" t="s">
        <v>9</v>
      </c>
      <c r="L2" s="2">
        <v>31.5</v>
      </c>
      <c r="M2" s="7">
        <v>3</v>
      </c>
      <c r="N2" s="3" t="str">
        <f>LEFT(O2,3)</f>
        <v>LZZ</v>
      </c>
      <c r="O2" t="s">
        <v>10</v>
      </c>
      <c r="P2" s="4">
        <v>46079</v>
      </c>
      <c r="Q2" t="s">
        <v>11</v>
      </c>
      <c r="R2" t="s">
        <v>2</v>
      </c>
      <c r="S2" t="s">
        <v>12</v>
      </c>
      <c r="T2" s="4">
        <v>46079</v>
      </c>
      <c r="U2" t="s">
        <v>13</v>
      </c>
      <c r="V2" t="s">
        <v>2</v>
      </c>
      <c r="W2" t="s">
        <v>14</v>
      </c>
      <c r="X2" t="s">
        <v>15</v>
      </c>
      <c r="Y2" t="s">
        <v>16</v>
      </c>
      <c r="Z2" t="s">
        <v>17</v>
      </c>
      <c r="AA2" t="s">
        <v>17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s="5">
        <v>31.5</v>
      </c>
      <c r="AH2" s="2">
        <v>94.5</v>
      </c>
      <c r="AI2" t="s">
        <v>22</v>
      </c>
      <c r="AJ2" s="4">
        <v>46079</v>
      </c>
      <c r="AK2" s="4">
        <v>46084</v>
      </c>
      <c r="AL2" s="4">
        <v>46079</v>
      </c>
      <c r="AM2" t="s">
        <v>2</v>
      </c>
      <c r="AN2" t="s">
        <v>2</v>
      </c>
      <c r="AO2" t="s">
        <v>23</v>
      </c>
    </row>
    <row r="3" spans="1:4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tr">
        <f t="shared" ref="I3:I66" si="0">J3&amp;N3</f>
        <v>PXBHZ-H65077LZZ</v>
      </c>
      <c r="J3" t="s">
        <v>8</v>
      </c>
      <c r="K3" t="s">
        <v>9</v>
      </c>
      <c r="L3" s="2">
        <v>31.5</v>
      </c>
      <c r="M3" s="7">
        <v>3</v>
      </c>
      <c r="N3" s="3" t="str">
        <f t="shared" ref="N3:N66" si="1">LEFT(O3,3)</f>
        <v>LZZ</v>
      </c>
      <c r="O3" t="s">
        <v>24</v>
      </c>
      <c r="P3" s="4">
        <v>46079</v>
      </c>
      <c r="Q3" t="s">
        <v>11</v>
      </c>
      <c r="R3" t="s">
        <v>2</v>
      </c>
      <c r="S3" t="s">
        <v>12</v>
      </c>
      <c r="T3" s="4">
        <v>46079</v>
      </c>
      <c r="U3" t="s">
        <v>13</v>
      </c>
      <c r="V3" t="s">
        <v>2</v>
      </c>
      <c r="W3" t="s">
        <v>14</v>
      </c>
      <c r="X3" t="s">
        <v>15</v>
      </c>
      <c r="Y3" t="s">
        <v>16</v>
      </c>
      <c r="Z3" t="s">
        <v>17</v>
      </c>
      <c r="AA3" t="s">
        <v>17</v>
      </c>
      <c r="AB3" t="s">
        <v>18</v>
      </c>
      <c r="AC3" t="s">
        <v>19</v>
      </c>
      <c r="AD3" t="s">
        <v>25</v>
      </c>
      <c r="AE3" t="s">
        <v>26</v>
      </c>
      <c r="AF3" t="s">
        <v>21</v>
      </c>
      <c r="AG3" s="5">
        <v>31.5</v>
      </c>
      <c r="AH3" s="2">
        <v>94.5</v>
      </c>
      <c r="AI3" t="s">
        <v>22</v>
      </c>
      <c r="AJ3" s="4">
        <v>46079</v>
      </c>
      <c r="AK3" s="4">
        <v>46084</v>
      </c>
      <c r="AL3" s="4">
        <v>46079</v>
      </c>
      <c r="AM3" t="s">
        <v>2</v>
      </c>
      <c r="AN3" t="s">
        <v>2</v>
      </c>
      <c r="AO3" t="s">
        <v>23</v>
      </c>
    </row>
    <row r="4" spans="1:4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tr">
        <f t="shared" si="0"/>
        <v>PXBHZ-H65077LZZ</v>
      </c>
      <c r="J4" t="s">
        <v>8</v>
      </c>
      <c r="K4" t="s">
        <v>9</v>
      </c>
      <c r="L4" s="2">
        <v>31.5</v>
      </c>
      <c r="M4" s="7">
        <v>3</v>
      </c>
      <c r="N4" s="3" t="str">
        <f t="shared" si="1"/>
        <v>LZZ</v>
      </c>
      <c r="O4" t="s">
        <v>27</v>
      </c>
      <c r="P4" s="4">
        <v>46079</v>
      </c>
      <c r="Q4" t="s">
        <v>11</v>
      </c>
      <c r="R4" t="s">
        <v>2</v>
      </c>
      <c r="S4" t="s">
        <v>12</v>
      </c>
      <c r="T4" s="4">
        <v>46079</v>
      </c>
      <c r="U4" t="s">
        <v>13</v>
      </c>
      <c r="V4" t="s">
        <v>2</v>
      </c>
      <c r="W4" t="s">
        <v>14</v>
      </c>
      <c r="X4" t="s">
        <v>15</v>
      </c>
      <c r="Y4" t="s">
        <v>16</v>
      </c>
      <c r="Z4" t="s">
        <v>17</v>
      </c>
      <c r="AA4" t="s">
        <v>17</v>
      </c>
      <c r="AB4" t="s">
        <v>18</v>
      </c>
      <c r="AC4" t="s">
        <v>19</v>
      </c>
      <c r="AD4" t="s">
        <v>28</v>
      </c>
      <c r="AE4" t="s">
        <v>29</v>
      </c>
      <c r="AF4" t="s">
        <v>21</v>
      </c>
      <c r="AG4" s="5">
        <v>31.5</v>
      </c>
      <c r="AH4" s="2">
        <v>94.5</v>
      </c>
      <c r="AI4" t="s">
        <v>22</v>
      </c>
      <c r="AJ4" s="4">
        <v>46079</v>
      </c>
      <c r="AK4" s="4">
        <v>46084</v>
      </c>
      <c r="AL4" s="4">
        <v>46079</v>
      </c>
      <c r="AM4" t="s">
        <v>2</v>
      </c>
      <c r="AN4" t="s">
        <v>2</v>
      </c>
      <c r="AO4" t="s">
        <v>23</v>
      </c>
    </row>
    <row r="5" spans="1:4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30</v>
      </c>
      <c r="I5" t="str">
        <f t="shared" si="0"/>
        <v>PXCDS-F67008LAW</v>
      </c>
      <c r="J5" t="s">
        <v>31</v>
      </c>
      <c r="K5" t="s">
        <v>32</v>
      </c>
      <c r="L5" s="2">
        <v>85</v>
      </c>
      <c r="M5" s="7">
        <v>18</v>
      </c>
      <c r="N5" s="3" t="str">
        <f t="shared" si="1"/>
        <v>LAW</v>
      </c>
      <c r="O5" t="s">
        <v>33</v>
      </c>
      <c r="P5" s="4">
        <v>46079</v>
      </c>
      <c r="Q5" t="s">
        <v>11</v>
      </c>
      <c r="R5" t="s">
        <v>2</v>
      </c>
      <c r="S5" t="s">
        <v>12</v>
      </c>
      <c r="T5" s="4">
        <v>46079</v>
      </c>
      <c r="U5" t="s">
        <v>13</v>
      </c>
      <c r="V5" t="s">
        <v>2</v>
      </c>
      <c r="W5" t="s">
        <v>14</v>
      </c>
      <c r="X5" t="s">
        <v>15</v>
      </c>
      <c r="Y5" t="s">
        <v>16</v>
      </c>
      <c r="Z5" t="s">
        <v>17</v>
      </c>
      <c r="AA5" t="s">
        <v>17</v>
      </c>
      <c r="AB5" t="s">
        <v>18</v>
      </c>
      <c r="AC5" t="s">
        <v>19</v>
      </c>
      <c r="AD5" t="s">
        <v>34</v>
      </c>
      <c r="AE5" t="s">
        <v>12</v>
      </c>
      <c r="AF5" t="s">
        <v>21</v>
      </c>
      <c r="AG5" s="5">
        <v>85</v>
      </c>
      <c r="AH5" s="2">
        <v>1530</v>
      </c>
      <c r="AI5" t="s">
        <v>22</v>
      </c>
      <c r="AJ5" s="4">
        <v>46079</v>
      </c>
      <c r="AK5" s="4">
        <v>46084</v>
      </c>
      <c r="AL5" s="4">
        <v>46079</v>
      </c>
      <c r="AM5" t="s">
        <v>2</v>
      </c>
      <c r="AN5" t="s">
        <v>2</v>
      </c>
      <c r="AO5" t="s">
        <v>23</v>
      </c>
    </row>
    <row r="6" spans="1:4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35</v>
      </c>
      <c r="I6" t="str">
        <f t="shared" si="0"/>
        <v>PXCDS-F67043LAW</v>
      </c>
      <c r="J6" t="s">
        <v>36</v>
      </c>
      <c r="K6" t="s">
        <v>37</v>
      </c>
      <c r="L6" s="2">
        <v>89.5</v>
      </c>
      <c r="M6" s="7">
        <v>14</v>
      </c>
      <c r="N6" s="3" t="str">
        <f t="shared" si="1"/>
        <v>LAW</v>
      </c>
      <c r="O6" t="s">
        <v>33</v>
      </c>
      <c r="P6" s="4">
        <v>46079</v>
      </c>
      <c r="Q6" t="s">
        <v>11</v>
      </c>
      <c r="R6" t="s">
        <v>2</v>
      </c>
      <c r="S6" t="s">
        <v>12</v>
      </c>
      <c r="T6" s="4">
        <v>46079</v>
      </c>
      <c r="U6" t="s">
        <v>13</v>
      </c>
      <c r="V6" t="s">
        <v>2</v>
      </c>
      <c r="W6" t="s">
        <v>14</v>
      </c>
      <c r="X6" t="s">
        <v>15</v>
      </c>
      <c r="Y6" t="s">
        <v>16</v>
      </c>
      <c r="Z6" t="s">
        <v>17</v>
      </c>
      <c r="AA6" t="s">
        <v>17</v>
      </c>
      <c r="AB6" t="s">
        <v>18</v>
      </c>
      <c r="AC6" t="s">
        <v>19</v>
      </c>
      <c r="AD6" t="s">
        <v>34</v>
      </c>
      <c r="AE6" t="s">
        <v>12</v>
      </c>
      <c r="AF6" t="s">
        <v>21</v>
      </c>
      <c r="AG6" s="5">
        <v>89.5</v>
      </c>
      <c r="AH6" s="2">
        <v>1253</v>
      </c>
      <c r="AI6" t="s">
        <v>22</v>
      </c>
      <c r="AJ6" s="4">
        <v>46079</v>
      </c>
      <c r="AK6" s="4">
        <v>46084</v>
      </c>
      <c r="AL6" s="4">
        <v>46079</v>
      </c>
      <c r="AM6" t="s">
        <v>2</v>
      </c>
      <c r="AN6" t="s">
        <v>2</v>
      </c>
      <c r="AO6" t="s">
        <v>23</v>
      </c>
    </row>
    <row r="7" spans="1:4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38</v>
      </c>
      <c r="I7" t="str">
        <f t="shared" si="0"/>
        <v>PXCEI-F67043CAB</v>
      </c>
      <c r="J7" t="s">
        <v>39</v>
      </c>
      <c r="K7" t="s">
        <v>37</v>
      </c>
      <c r="L7" s="2">
        <v>89.5</v>
      </c>
      <c r="M7" s="7">
        <v>8</v>
      </c>
      <c r="N7" s="3" t="str">
        <f t="shared" si="1"/>
        <v>CAB</v>
      </c>
      <c r="O7" t="s">
        <v>40</v>
      </c>
      <c r="P7" s="4">
        <v>46079</v>
      </c>
      <c r="Q7" t="s">
        <v>11</v>
      </c>
      <c r="R7" t="s">
        <v>2</v>
      </c>
      <c r="S7" t="s">
        <v>12</v>
      </c>
      <c r="T7" s="4">
        <v>46079</v>
      </c>
      <c r="U7" t="s">
        <v>13</v>
      </c>
      <c r="V7" t="s">
        <v>2</v>
      </c>
      <c r="W7" t="s">
        <v>14</v>
      </c>
      <c r="X7" t="s">
        <v>15</v>
      </c>
      <c r="Y7" t="s">
        <v>16</v>
      </c>
      <c r="Z7" t="s">
        <v>17</v>
      </c>
      <c r="AA7" t="s">
        <v>17</v>
      </c>
      <c r="AB7" t="s">
        <v>18</v>
      </c>
      <c r="AC7" t="s">
        <v>19</v>
      </c>
      <c r="AD7" t="s">
        <v>34</v>
      </c>
      <c r="AE7" t="s">
        <v>12</v>
      </c>
      <c r="AF7" t="s">
        <v>21</v>
      </c>
      <c r="AG7" s="5">
        <v>89.5</v>
      </c>
      <c r="AH7" s="2">
        <v>716</v>
      </c>
      <c r="AI7" t="s">
        <v>22</v>
      </c>
      <c r="AJ7" s="4">
        <v>46079</v>
      </c>
      <c r="AK7" s="4">
        <v>46084</v>
      </c>
      <c r="AL7" s="4">
        <v>46079</v>
      </c>
      <c r="AM7" t="s">
        <v>2</v>
      </c>
      <c r="AN7" t="s">
        <v>2</v>
      </c>
      <c r="AO7" t="s">
        <v>23</v>
      </c>
    </row>
    <row r="8" spans="1:41" x14ac:dyDescent="0.2">
      <c r="A8" t="s">
        <v>0</v>
      </c>
      <c r="B8" t="s">
        <v>1</v>
      </c>
      <c r="C8" t="s">
        <v>2</v>
      </c>
      <c r="D8" t="s">
        <v>41</v>
      </c>
      <c r="E8" t="s">
        <v>4</v>
      </c>
      <c r="F8" t="s">
        <v>19</v>
      </c>
      <c r="G8" t="s">
        <v>6</v>
      </c>
      <c r="H8" t="s">
        <v>42</v>
      </c>
      <c r="I8" t="str">
        <f t="shared" si="0"/>
        <v>PXBHZ-F65101LZZ</v>
      </c>
      <c r="J8" t="s">
        <v>43</v>
      </c>
      <c r="K8" t="s">
        <v>44</v>
      </c>
      <c r="L8" s="2">
        <v>22.4</v>
      </c>
      <c r="M8" s="7">
        <v>1</v>
      </c>
      <c r="N8" s="3" t="str">
        <f t="shared" si="1"/>
        <v>LZZ</v>
      </c>
      <c r="O8" t="s">
        <v>24</v>
      </c>
      <c r="P8" s="4">
        <v>46079</v>
      </c>
      <c r="Q8" t="s">
        <v>11</v>
      </c>
      <c r="R8" t="s">
        <v>2</v>
      </c>
      <c r="S8" t="s">
        <v>12</v>
      </c>
      <c r="T8" s="4">
        <v>46079</v>
      </c>
      <c r="U8" t="s">
        <v>13</v>
      </c>
      <c r="V8" t="s">
        <v>2</v>
      </c>
      <c r="W8" t="s">
        <v>14</v>
      </c>
      <c r="X8" t="s">
        <v>15</v>
      </c>
      <c r="Y8" t="s">
        <v>16</v>
      </c>
      <c r="Z8" t="s">
        <v>17</v>
      </c>
      <c r="AA8" t="s">
        <v>17</v>
      </c>
      <c r="AB8" t="s">
        <v>18</v>
      </c>
      <c r="AC8" t="s">
        <v>19</v>
      </c>
      <c r="AD8" t="s">
        <v>25</v>
      </c>
      <c r="AE8" t="s">
        <v>45</v>
      </c>
      <c r="AF8" t="s">
        <v>21</v>
      </c>
      <c r="AG8" s="5">
        <v>22.4</v>
      </c>
      <c r="AH8" s="2">
        <v>22.4</v>
      </c>
      <c r="AI8" t="s">
        <v>22</v>
      </c>
      <c r="AJ8" s="4">
        <v>46079</v>
      </c>
      <c r="AK8" s="4">
        <v>46084</v>
      </c>
      <c r="AL8" s="4">
        <v>46079</v>
      </c>
      <c r="AM8" t="s">
        <v>2</v>
      </c>
      <c r="AN8" t="s">
        <v>2</v>
      </c>
      <c r="AO8" t="s">
        <v>23</v>
      </c>
    </row>
    <row r="9" spans="1:41" x14ac:dyDescent="0.2">
      <c r="A9" t="s">
        <v>0</v>
      </c>
      <c r="B9" t="s">
        <v>1</v>
      </c>
      <c r="C9" t="s">
        <v>2</v>
      </c>
      <c r="D9" t="s">
        <v>41</v>
      </c>
      <c r="E9" t="s">
        <v>4</v>
      </c>
      <c r="F9" t="s">
        <v>19</v>
      </c>
      <c r="G9" t="s">
        <v>6</v>
      </c>
      <c r="H9" t="s">
        <v>42</v>
      </c>
      <c r="I9" t="str">
        <f t="shared" si="0"/>
        <v>PXBHZ-F65101LZZ</v>
      </c>
      <c r="J9" t="s">
        <v>43</v>
      </c>
      <c r="K9" t="s">
        <v>44</v>
      </c>
      <c r="L9" s="2">
        <v>22.4</v>
      </c>
      <c r="M9" s="7">
        <v>1</v>
      </c>
      <c r="N9" s="3" t="str">
        <f t="shared" si="1"/>
        <v>LZZ</v>
      </c>
      <c r="O9" t="s">
        <v>46</v>
      </c>
      <c r="P9" s="4">
        <v>46079</v>
      </c>
      <c r="Q9" t="s">
        <v>11</v>
      </c>
      <c r="R9" t="s">
        <v>2</v>
      </c>
      <c r="S9" t="s">
        <v>12</v>
      </c>
      <c r="T9" s="4">
        <v>46079</v>
      </c>
      <c r="U9" t="s">
        <v>13</v>
      </c>
      <c r="V9" t="s">
        <v>2</v>
      </c>
      <c r="W9" t="s">
        <v>14</v>
      </c>
      <c r="X9" t="s">
        <v>15</v>
      </c>
      <c r="Y9" t="s">
        <v>16</v>
      </c>
      <c r="Z9" t="s">
        <v>17</v>
      </c>
      <c r="AA9" t="s">
        <v>17</v>
      </c>
      <c r="AB9" t="s">
        <v>18</v>
      </c>
      <c r="AC9" t="s">
        <v>19</v>
      </c>
      <c r="AD9" t="s">
        <v>47</v>
      </c>
      <c r="AE9" t="s">
        <v>12</v>
      </c>
      <c r="AF9" t="s">
        <v>21</v>
      </c>
      <c r="AG9" s="5">
        <v>22.4</v>
      </c>
      <c r="AH9" s="2">
        <v>22.4</v>
      </c>
      <c r="AI9" t="s">
        <v>22</v>
      </c>
      <c r="AJ9" s="4">
        <v>46079</v>
      </c>
      <c r="AK9" s="4">
        <v>46084</v>
      </c>
      <c r="AL9" s="4">
        <v>46079</v>
      </c>
      <c r="AM9" t="s">
        <v>2</v>
      </c>
      <c r="AN9" t="s">
        <v>2</v>
      </c>
      <c r="AO9" t="s">
        <v>23</v>
      </c>
    </row>
    <row r="10" spans="1:41" x14ac:dyDescent="0.2">
      <c r="A10" t="s">
        <v>0</v>
      </c>
      <c r="B10" t="s">
        <v>1</v>
      </c>
      <c r="C10" t="s">
        <v>2</v>
      </c>
      <c r="D10" t="s">
        <v>41</v>
      </c>
      <c r="E10" t="s">
        <v>4</v>
      </c>
      <c r="F10" t="s">
        <v>19</v>
      </c>
      <c r="G10" t="s">
        <v>6</v>
      </c>
      <c r="H10" t="s">
        <v>42</v>
      </c>
      <c r="I10" t="str">
        <f t="shared" si="0"/>
        <v>PXBHZ-F65101LZZ</v>
      </c>
      <c r="J10" t="s">
        <v>43</v>
      </c>
      <c r="K10" t="s">
        <v>44</v>
      </c>
      <c r="L10" s="2">
        <v>22.4</v>
      </c>
      <c r="M10" s="7">
        <v>2</v>
      </c>
      <c r="N10" s="3" t="str">
        <f t="shared" si="1"/>
        <v>LZZ</v>
      </c>
      <c r="O10" t="s">
        <v>48</v>
      </c>
      <c r="P10" s="4">
        <v>46079</v>
      </c>
      <c r="Q10" t="s">
        <v>11</v>
      </c>
      <c r="R10" t="s">
        <v>2</v>
      </c>
      <c r="S10" t="s">
        <v>12</v>
      </c>
      <c r="T10" s="4">
        <v>46079</v>
      </c>
      <c r="U10" t="s">
        <v>13</v>
      </c>
      <c r="V10" t="s">
        <v>2</v>
      </c>
      <c r="W10" t="s">
        <v>14</v>
      </c>
      <c r="X10" t="s">
        <v>15</v>
      </c>
      <c r="Y10" t="s">
        <v>16</v>
      </c>
      <c r="Z10" t="s">
        <v>17</v>
      </c>
      <c r="AA10" t="s">
        <v>17</v>
      </c>
      <c r="AB10" t="s">
        <v>18</v>
      </c>
      <c r="AC10" t="s">
        <v>19</v>
      </c>
      <c r="AD10" t="s">
        <v>49</v>
      </c>
      <c r="AE10" t="s">
        <v>26</v>
      </c>
      <c r="AF10" t="s">
        <v>21</v>
      </c>
      <c r="AG10" s="5">
        <v>22.4</v>
      </c>
      <c r="AH10" s="2">
        <v>44.8</v>
      </c>
      <c r="AI10" t="s">
        <v>22</v>
      </c>
      <c r="AJ10" s="4">
        <v>46079</v>
      </c>
      <c r="AK10" s="4">
        <v>46084</v>
      </c>
      <c r="AL10" s="4">
        <v>46079</v>
      </c>
      <c r="AM10" t="s">
        <v>2</v>
      </c>
      <c r="AN10" t="s">
        <v>2</v>
      </c>
      <c r="AO10" t="s">
        <v>23</v>
      </c>
    </row>
    <row r="11" spans="1:41" x14ac:dyDescent="0.2">
      <c r="A11" t="s">
        <v>0</v>
      </c>
      <c r="B11" t="s">
        <v>1</v>
      </c>
      <c r="C11" t="s">
        <v>2</v>
      </c>
      <c r="D11" t="s">
        <v>41</v>
      </c>
      <c r="E11" t="s">
        <v>4</v>
      </c>
      <c r="F11" t="s">
        <v>19</v>
      </c>
      <c r="G11" t="s">
        <v>6</v>
      </c>
      <c r="H11" t="s">
        <v>42</v>
      </c>
      <c r="I11" t="str">
        <f t="shared" si="0"/>
        <v>PXBHZ-F65101LZZ</v>
      </c>
      <c r="J11" t="s">
        <v>43</v>
      </c>
      <c r="K11" t="s">
        <v>44</v>
      </c>
      <c r="L11" s="2">
        <v>22.4</v>
      </c>
      <c r="M11" s="7">
        <v>1</v>
      </c>
      <c r="N11" s="3" t="str">
        <f t="shared" si="1"/>
        <v>LZZ</v>
      </c>
      <c r="O11" t="s">
        <v>50</v>
      </c>
      <c r="P11" s="4">
        <v>46079</v>
      </c>
      <c r="Q11" t="s">
        <v>11</v>
      </c>
      <c r="R11" t="s">
        <v>2</v>
      </c>
      <c r="S11" t="s">
        <v>12</v>
      </c>
      <c r="T11" s="4">
        <v>46079</v>
      </c>
      <c r="U11" t="s">
        <v>13</v>
      </c>
      <c r="V11" t="s">
        <v>2</v>
      </c>
      <c r="W11" t="s">
        <v>14</v>
      </c>
      <c r="X11" t="s">
        <v>15</v>
      </c>
      <c r="Y11" t="s">
        <v>16</v>
      </c>
      <c r="Z11" t="s">
        <v>17</v>
      </c>
      <c r="AA11" t="s">
        <v>17</v>
      </c>
      <c r="AB11" t="s">
        <v>18</v>
      </c>
      <c r="AC11" t="s">
        <v>19</v>
      </c>
      <c r="AD11" t="s">
        <v>51</v>
      </c>
      <c r="AE11" t="s">
        <v>29</v>
      </c>
      <c r="AF11" t="s">
        <v>21</v>
      </c>
      <c r="AG11" s="5">
        <v>22.4</v>
      </c>
      <c r="AH11" s="2">
        <v>22.4</v>
      </c>
      <c r="AI11" t="s">
        <v>22</v>
      </c>
      <c r="AJ11" s="4">
        <v>46079</v>
      </c>
      <c r="AK11" s="4">
        <v>46084</v>
      </c>
      <c r="AL11" s="4">
        <v>46079</v>
      </c>
      <c r="AM11" t="s">
        <v>2</v>
      </c>
      <c r="AN11" t="s">
        <v>2</v>
      </c>
      <c r="AO11" t="s">
        <v>23</v>
      </c>
    </row>
    <row r="12" spans="1:41" x14ac:dyDescent="0.2">
      <c r="A12" t="s">
        <v>0</v>
      </c>
      <c r="B12" t="s">
        <v>1</v>
      </c>
      <c r="C12" t="s">
        <v>2</v>
      </c>
      <c r="D12" t="s">
        <v>41</v>
      </c>
      <c r="E12" t="s">
        <v>4</v>
      </c>
      <c r="F12" t="s">
        <v>19</v>
      </c>
      <c r="G12" t="s">
        <v>6</v>
      </c>
      <c r="H12" t="s">
        <v>52</v>
      </c>
      <c r="I12" t="str">
        <f t="shared" si="0"/>
        <v>PXCBT-F65101KBE</v>
      </c>
      <c r="J12" t="s">
        <v>53</v>
      </c>
      <c r="K12" t="s">
        <v>44</v>
      </c>
      <c r="L12" s="2">
        <v>20.9</v>
      </c>
      <c r="M12" s="7">
        <v>1</v>
      </c>
      <c r="N12" s="3" t="str">
        <f t="shared" si="1"/>
        <v>KBE</v>
      </c>
      <c r="O12" t="s">
        <v>54</v>
      </c>
      <c r="P12" s="4">
        <v>46079</v>
      </c>
      <c r="Q12" t="s">
        <v>11</v>
      </c>
      <c r="R12" t="s">
        <v>2</v>
      </c>
      <c r="S12" t="s">
        <v>12</v>
      </c>
      <c r="T12" s="4">
        <v>46079</v>
      </c>
      <c r="U12" t="s">
        <v>13</v>
      </c>
      <c r="V12" t="s">
        <v>2</v>
      </c>
      <c r="W12" t="s">
        <v>14</v>
      </c>
      <c r="X12" t="s">
        <v>15</v>
      </c>
      <c r="Y12" t="s">
        <v>16</v>
      </c>
      <c r="Z12" t="s">
        <v>17</v>
      </c>
      <c r="AA12" t="s">
        <v>17</v>
      </c>
      <c r="AB12" t="s">
        <v>18</v>
      </c>
      <c r="AC12" t="s">
        <v>19</v>
      </c>
      <c r="AD12" t="s">
        <v>25</v>
      </c>
      <c r="AE12" t="s">
        <v>26</v>
      </c>
      <c r="AF12" t="s">
        <v>21</v>
      </c>
      <c r="AG12" s="5">
        <v>20.9</v>
      </c>
      <c r="AH12" s="2">
        <v>20.9</v>
      </c>
      <c r="AI12" t="s">
        <v>22</v>
      </c>
      <c r="AJ12" s="4">
        <v>46079</v>
      </c>
      <c r="AK12" s="4">
        <v>46084</v>
      </c>
      <c r="AL12" s="4">
        <v>46079</v>
      </c>
      <c r="AM12" t="s">
        <v>2</v>
      </c>
      <c r="AN12" t="s">
        <v>2</v>
      </c>
      <c r="AO12" t="s">
        <v>23</v>
      </c>
    </row>
    <row r="13" spans="1:41" x14ac:dyDescent="0.2">
      <c r="A13" t="s">
        <v>0</v>
      </c>
      <c r="B13" t="s">
        <v>1</v>
      </c>
      <c r="C13" t="s">
        <v>2</v>
      </c>
      <c r="D13" t="s">
        <v>41</v>
      </c>
      <c r="E13" t="s">
        <v>4</v>
      </c>
      <c r="F13" t="s">
        <v>19</v>
      </c>
      <c r="G13" t="s">
        <v>6</v>
      </c>
      <c r="H13" t="s">
        <v>52</v>
      </c>
      <c r="I13" t="str">
        <f t="shared" si="0"/>
        <v>PXCBT-F65101KBE</v>
      </c>
      <c r="J13" t="s">
        <v>53</v>
      </c>
      <c r="K13" t="s">
        <v>44</v>
      </c>
      <c r="L13" s="2">
        <v>20.9</v>
      </c>
      <c r="M13" s="7">
        <v>1</v>
      </c>
      <c r="N13" s="3" t="str">
        <f t="shared" si="1"/>
        <v>KBE</v>
      </c>
      <c r="O13" t="s">
        <v>55</v>
      </c>
      <c r="P13" s="4">
        <v>46079</v>
      </c>
      <c r="Q13" t="s">
        <v>11</v>
      </c>
      <c r="R13" t="s">
        <v>2</v>
      </c>
      <c r="S13" t="s">
        <v>12</v>
      </c>
      <c r="T13" s="4">
        <v>46079</v>
      </c>
      <c r="U13" t="s">
        <v>13</v>
      </c>
      <c r="V13" t="s">
        <v>2</v>
      </c>
      <c r="W13" t="s">
        <v>14</v>
      </c>
      <c r="X13" t="s">
        <v>15</v>
      </c>
      <c r="Y13" t="s">
        <v>16</v>
      </c>
      <c r="Z13" t="s">
        <v>17</v>
      </c>
      <c r="AA13" t="s">
        <v>17</v>
      </c>
      <c r="AB13" t="s">
        <v>18</v>
      </c>
      <c r="AC13" t="s">
        <v>19</v>
      </c>
      <c r="AD13" t="s">
        <v>47</v>
      </c>
      <c r="AE13" t="s">
        <v>29</v>
      </c>
      <c r="AF13" t="s">
        <v>21</v>
      </c>
      <c r="AG13" s="5">
        <v>20.9</v>
      </c>
      <c r="AH13" s="2">
        <v>20.9</v>
      </c>
      <c r="AI13" t="s">
        <v>22</v>
      </c>
      <c r="AJ13" s="4">
        <v>46079</v>
      </c>
      <c r="AK13" s="4">
        <v>46084</v>
      </c>
      <c r="AL13" s="4">
        <v>46079</v>
      </c>
      <c r="AM13" t="s">
        <v>2</v>
      </c>
      <c r="AN13" t="s">
        <v>2</v>
      </c>
      <c r="AO13" t="s">
        <v>23</v>
      </c>
    </row>
    <row r="14" spans="1:41" x14ac:dyDescent="0.2">
      <c r="A14" t="s">
        <v>0</v>
      </c>
      <c r="B14" t="s">
        <v>1</v>
      </c>
      <c r="C14" t="s">
        <v>2</v>
      </c>
      <c r="D14" t="s">
        <v>41</v>
      </c>
      <c r="E14" t="s">
        <v>4</v>
      </c>
      <c r="F14" t="s">
        <v>19</v>
      </c>
      <c r="G14" t="s">
        <v>6</v>
      </c>
      <c r="H14" t="s">
        <v>52</v>
      </c>
      <c r="I14" t="str">
        <f t="shared" si="0"/>
        <v>PXCBT-F65101KBE</v>
      </c>
      <c r="J14" t="s">
        <v>53</v>
      </c>
      <c r="K14" t="s">
        <v>44</v>
      </c>
      <c r="L14" s="2">
        <v>20.9</v>
      </c>
      <c r="M14" s="7">
        <v>2</v>
      </c>
      <c r="N14" s="3" t="str">
        <f t="shared" si="1"/>
        <v>KBE</v>
      </c>
      <c r="O14" t="s">
        <v>56</v>
      </c>
      <c r="P14" s="4">
        <v>46079</v>
      </c>
      <c r="Q14" t="s">
        <v>11</v>
      </c>
      <c r="R14" t="s">
        <v>2</v>
      </c>
      <c r="S14" t="s">
        <v>12</v>
      </c>
      <c r="T14" s="4">
        <v>46079</v>
      </c>
      <c r="U14" t="s">
        <v>13</v>
      </c>
      <c r="V14" t="s">
        <v>2</v>
      </c>
      <c r="W14" t="s">
        <v>14</v>
      </c>
      <c r="X14" t="s">
        <v>15</v>
      </c>
      <c r="Y14" t="s">
        <v>16</v>
      </c>
      <c r="Z14" t="s">
        <v>17</v>
      </c>
      <c r="AA14" t="s">
        <v>17</v>
      </c>
      <c r="AB14" t="s">
        <v>18</v>
      </c>
      <c r="AC14" t="s">
        <v>19</v>
      </c>
      <c r="AD14" t="s">
        <v>49</v>
      </c>
      <c r="AE14" t="s">
        <v>45</v>
      </c>
      <c r="AF14" t="s">
        <v>21</v>
      </c>
      <c r="AG14" s="5">
        <v>20.9</v>
      </c>
      <c r="AH14" s="2">
        <v>41.8</v>
      </c>
      <c r="AI14" t="s">
        <v>22</v>
      </c>
      <c r="AJ14" s="4">
        <v>46079</v>
      </c>
      <c r="AK14" s="4">
        <v>46084</v>
      </c>
      <c r="AL14" s="4">
        <v>46079</v>
      </c>
      <c r="AM14" t="s">
        <v>2</v>
      </c>
      <c r="AN14" t="s">
        <v>2</v>
      </c>
      <c r="AO14" t="s">
        <v>23</v>
      </c>
    </row>
    <row r="15" spans="1:41" x14ac:dyDescent="0.2">
      <c r="A15" t="s">
        <v>0</v>
      </c>
      <c r="B15" t="s">
        <v>1</v>
      </c>
      <c r="C15" t="s">
        <v>2</v>
      </c>
      <c r="D15" t="s">
        <v>41</v>
      </c>
      <c r="E15" t="s">
        <v>4</v>
      </c>
      <c r="F15" t="s">
        <v>19</v>
      </c>
      <c r="G15" t="s">
        <v>6</v>
      </c>
      <c r="H15" t="s">
        <v>52</v>
      </c>
      <c r="I15" t="str">
        <f t="shared" si="0"/>
        <v>PXCBT-F65101KBE</v>
      </c>
      <c r="J15" t="s">
        <v>53</v>
      </c>
      <c r="K15" t="s">
        <v>44</v>
      </c>
      <c r="L15" s="2">
        <v>20.9</v>
      </c>
      <c r="M15" s="7">
        <v>1</v>
      </c>
      <c r="N15" s="3" t="str">
        <f t="shared" si="1"/>
        <v>KBE</v>
      </c>
      <c r="O15" t="s">
        <v>57</v>
      </c>
      <c r="P15" s="4">
        <v>46079</v>
      </c>
      <c r="Q15" t="s">
        <v>11</v>
      </c>
      <c r="R15" t="s">
        <v>2</v>
      </c>
      <c r="S15" t="s">
        <v>12</v>
      </c>
      <c r="T15" s="4">
        <v>46079</v>
      </c>
      <c r="U15" t="s">
        <v>13</v>
      </c>
      <c r="V15" t="s">
        <v>2</v>
      </c>
      <c r="W15" t="s">
        <v>14</v>
      </c>
      <c r="X15" t="s">
        <v>15</v>
      </c>
      <c r="Y15" t="s">
        <v>16</v>
      </c>
      <c r="Z15" t="s">
        <v>17</v>
      </c>
      <c r="AA15" t="s">
        <v>17</v>
      </c>
      <c r="AB15" t="s">
        <v>18</v>
      </c>
      <c r="AC15" t="s">
        <v>19</v>
      </c>
      <c r="AD15" t="s">
        <v>51</v>
      </c>
      <c r="AE15" t="s">
        <v>12</v>
      </c>
      <c r="AF15" t="s">
        <v>21</v>
      </c>
      <c r="AG15" s="5">
        <v>20.9</v>
      </c>
      <c r="AH15" s="2">
        <v>20.9</v>
      </c>
      <c r="AI15" t="s">
        <v>22</v>
      </c>
      <c r="AJ15" s="4">
        <v>46079</v>
      </c>
      <c r="AK15" s="4">
        <v>46084</v>
      </c>
      <c r="AL15" s="4">
        <v>46079</v>
      </c>
      <c r="AM15" t="s">
        <v>2</v>
      </c>
      <c r="AN15" t="s">
        <v>2</v>
      </c>
      <c r="AO15" t="s">
        <v>23</v>
      </c>
    </row>
    <row r="16" spans="1:41" x14ac:dyDescent="0.2">
      <c r="A16" t="s">
        <v>0</v>
      </c>
      <c r="B16" t="s">
        <v>1</v>
      </c>
      <c r="C16" t="s">
        <v>2</v>
      </c>
      <c r="D16" t="s">
        <v>41</v>
      </c>
      <c r="E16" t="s">
        <v>4</v>
      </c>
      <c r="F16" t="s">
        <v>19</v>
      </c>
      <c r="G16" t="s">
        <v>6</v>
      </c>
      <c r="H16" t="s">
        <v>58</v>
      </c>
      <c r="I16" t="str">
        <f t="shared" si="0"/>
        <v>PXCDS-F67043LAW</v>
      </c>
      <c r="J16" t="s">
        <v>36</v>
      </c>
      <c r="K16" t="s">
        <v>37</v>
      </c>
      <c r="L16" s="2">
        <v>89.5</v>
      </c>
      <c r="M16" s="7">
        <v>20</v>
      </c>
      <c r="N16" s="3" t="str">
        <f t="shared" si="1"/>
        <v>LAW</v>
      </c>
      <c r="O16" t="s">
        <v>33</v>
      </c>
      <c r="P16" s="4">
        <v>46079</v>
      </c>
      <c r="Q16" t="s">
        <v>11</v>
      </c>
      <c r="R16" t="s">
        <v>2</v>
      </c>
      <c r="S16" t="s">
        <v>12</v>
      </c>
      <c r="T16" s="4">
        <v>46079</v>
      </c>
      <c r="U16" t="s">
        <v>13</v>
      </c>
      <c r="V16" t="s">
        <v>2</v>
      </c>
      <c r="W16" t="s">
        <v>14</v>
      </c>
      <c r="X16" t="s">
        <v>15</v>
      </c>
      <c r="Y16" t="s">
        <v>16</v>
      </c>
      <c r="Z16" t="s">
        <v>17</v>
      </c>
      <c r="AA16" t="s">
        <v>17</v>
      </c>
      <c r="AB16" t="s">
        <v>18</v>
      </c>
      <c r="AC16" t="s">
        <v>19</v>
      </c>
      <c r="AD16" t="s">
        <v>34</v>
      </c>
      <c r="AE16" t="s">
        <v>12</v>
      </c>
      <c r="AF16" t="s">
        <v>21</v>
      </c>
      <c r="AG16" s="5">
        <v>89.5</v>
      </c>
      <c r="AH16" s="2">
        <v>1790</v>
      </c>
      <c r="AI16" t="s">
        <v>22</v>
      </c>
      <c r="AJ16" s="4">
        <v>46079</v>
      </c>
      <c r="AK16" s="4">
        <v>46084</v>
      </c>
      <c r="AL16" s="4">
        <v>46079</v>
      </c>
      <c r="AM16" t="s">
        <v>2</v>
      </c>
      <c r="AN16" t="s">
        <v>2</v>
      </c>
      <c r="AO16" t="s">
        <v>23</v>
      </c>
    </row>
    <row r="17" spans="1:41" x14ac:dyDescent="0.2">
      <c r="A17" t="s">
        <v>0</v>
      </c>
      <c r="B17" t="s">
        <v>1</v>
      </c>
      <c r="C17" t="s">
        <v>2</v>
      </c>
      <c r="D17" t="s">
        <v>41</v>
      </c>
      <c r="E17" t="s">
        <v>4</v>
      </c>
      <c r="F17" t="s">
        <v>19</v>
      </c>
      <c r="G17" t="s">
        <v>6</v>
      </c>
      <c r="H17" t="s">
        <v>59</v>
      </c>
      <c r="I17" t="str">
        <f t="shared" si="0"/>
        <v>PXCEI-F67043CAB</v>
      </c>
      <c r="J17" t="s">
        <v>39</v>
      </c>
      <c r="K17" t="s">
        <v>37</v>
      </c>
      <c r="L17" s="2">
        <v>89.5</v>
      </c>
      <c r="M17" s="7">
        <v>20</v>
      </c>
      <c r="N17" s="3" t="str">
        <f t="shared" si="1"/>
        <v>CAB</v>
      </c>
      <c r="O17" t="s">
        <v>40</v>
      </c>
      <c r="P17" s="4">
        <v>46079</v>
      </c>
      <c r="Q17" t="s">
        <v>11</v>
      </c>
      <c r="R17" t="s">
        <v>2</v>
      </c>
      <c r="S17" t="s">
        <v>12</v>
      </c>
      <c r="T17" s="4">
        <v>46079</v>
      </c>
      <c r="U17" t="s">
        <v>13</v>
      </c>
      <c r="V17" t="s">
        <v>2</v>
      </c>
      <c r="W17" t="s">
        <v>14</v>
      </c>
      <c r="X17" t="s">
        <v>15</v>
      </c>
      <c r="Y17" t="s">
        <v>16</v>
      </c>
      <c r="Z17" t="s">
        <v>17</v>
      </c>
      <c r="AA17" t="s">
        <v>17</v>
      </c>
      <c r="AB17" t="s">
        <v>18</v>
      </c>
      <c r="AC17" t="s">
        <v>19</v>
      </c>
      <c r="AD17" t="s">
        <v>34</v>
      </c>
      <c r="AE17" t="s">
        <v>12</v>
      </c>
      <c r="AF17" t="s">
        <v>21</v>
      </c>
      <c r="AG17" s="5">
        <v>89.5</v>
      </c>
      <c r="AH17" s="2">
        <v>1790</v>
      </c>
      <c r="AI17" t="s">
        <v>22</v>
      </c>
      <c r="AJ17" s="4">
        <v>46079</v>
      </c>
      <c r="AK17" s="4">
        <v>46084</v>
      </c>
      <c r="AL17" s="4">
        <v>46079</v>
      </c>
      <c r="AM17" t="s">
        <v>2</v>
      </c>
      <c r="AN17" t="s">
        <v>2</v>
      </c>
      <c r="AO17" t="s">
        <v>23</v>
      </c>
    </row>
    <row r="18" spans="1:41" x14ac:dyDescent="0.2">
      <c r="A18" t="s">
        <v>0</v>
      </c>
      <c r="B18" t="s">
        <v>1</v>
      </c>
      <c r="C18" t="s">
        <v>2</v>
      </c>
      <c r="D18" t="s">
        <v>41</v>
      </c>
      <c r="E18" t="s">
        <v>4</v>
      </c>
      <c r="F18" t="s">
        <v>19</v>
      </c>
      <c r="G18" t="s">
        <v>6</v>
      </c>
      <c r="H18" t="s">
        <v>60</v>
      </c>
      <c r="I18" t="str">
        <f t="shared" si="0"/>
        <v>PXCBC-F67008LAW</v>
      </c>
      <c r="J18" t="s">
        <v>61</v>
      </c>
      <c r="K18" t="s">
        <v>32</v>
      </c>
      <c r="L18" s="2">
        <v>67.8</v>
      </c>
      <c r="M18" s="7">
        <v>20</v>
      </c>
      <c r="N18" s="3" t="str">
        <f t="shared" si="1"/>
        <v>LAW</v>
      </c>
      <c r="O18" t="s">
        <v>33</v>
      </c>
      <c r="P18" s="4">
        <v>46080</v>
      </c>
      <c r="Q18" t="s">
        <v>11</v>
      </c>
      <c r="R18" t="s">
        <v>2</v>
      </c>
      <c r="S18" t="s">
        <v>12</v>
      </c>
      <c r="T18" s="4">
        <v>46080</v>
      </c>
      <c r="U18" t="s">
        <v>13</v>
      </c>
      <c r="V18" t="s">
        <v>2</v>
      </c>
      <c r="W18" t="s">
        <v>14</v>
      </c>
      <c r="X18" t="s">
        <v>15</v>
      </c>
      <c r="Y18" t="s">
        <v>16</v>
      </c>
      <c r="Z18" t="s">
        <v>17</v>
      </c>
      <c r="AA18" t="s">
        <v>17</v>
      </c>
      <c r="AB18" t="s">
        <v>18</v>
      </c>
      <c r="AC18" t="s">
        <v>19</v>
      </c>
      <c r="AD18" t="s">
        <v>34</v>
      </c>
      <c r="AE18" t="s">
        <v>29</v>
      </c>
      <c r="AF18" t="s">
        <v>21</v>
      </c>
      <c r="AG18" s="5">
        <v>67.8</v>
      </c>
      <c r="AH18" s="2">
        <v>1356</v>
      </c>
      <c r="AI18" t="s">
        <v>22</v>
      </c>
      <c r="AJ18" s="4">
        <v>46080</v>
      </c>
      <c r="AK18" s="4">
        <v>46085</v>
      </c>
      <c r="AL18" s="4">
        <v>46080</v>
      </c>
      <c r="AM18" t="s">
        <v>2</v>
      </c>
      <c r="AN18" t="s">
        <v>2</v>
      </c>
      <c r="AO18" t="s">
        <v>23</v>
      </c>
    </row>
    <row r="19" spans="1:41" x14ac:dyDescent="0.2">
      <c r="A19" t="s">
        <v>0</v>
      </c>
      <c r="B19" t="s">
        <v>1</v>
      </c>
      <c r="C19" t="s">
        <v>2</v>
      </c>
      <c r="D19" t="s">
        <v>41</v>
      </c>
      <c r="E19" t="s">
        <v>4</v>
      </c>
      <c r="F19" t="s">
        <v>19</v>
      </c>
      <c r="G19" t="s">
        <v>6</v>
      </c>
      <c r="H19" t="s">
        <v>60</v>
      </c>
      <c r="I19" t="str">
        <f t="shared" si="0"/>
        <v>PXCBC-F67008KAN</v>
      </c>
      <c r="J19" t="s">
        <v>61</v>
      </c>
      <c r="K19" t="s">
        <v>32</v>
      </c>
      <c r="L19" s="2">
        <v>67.8</v>
      </c>
      <c r="M19" s="7">
        <v>10</v>
      </c>
      <c r="N19" s="3" t="str">
        <f t="shared" si="1"/>
        <v>KAN</v>
      </c>
      <c r="O19" t="s">
        <v>62</v>
      </c>
      <c r="P19" s="4">
        <v>46080</v>
      </c>
      <c r="Q19" t="s">
        <v>11</v>
      </c>
      <c r="R19" t="s">
        <v>2</v>
      </c>
      <c r="S19" t="s">
        <v>12</v>
      </c>
      <c r="T19" s="4">
        <v>46080</v>
      </c>
      <c r="U19" t="s">
        <v>13</v>
      </c>
      <c r="V19" t="s">
        <v>2</v>
      </c>
      <c r="W19" t="s">
        <v>14</v>
      </c>
      <c r="X19" t="s">
        <v>15</v>
      </c>
      <c r="Y19" t="s">
        <v>16</v>
      </c>
      <c r="Z19" t="s">
        <v>17</v>
      </c>
      <c r="AA19" t="s">
        <v>17</v>
      </c>
      <c r="AB19" t="s">
        <v>18</v>
      </c>
      <c r="AC19" t="s">
        <v>19</v>
      </c>
      <c r="AD19" t="s">
        <v>34</v>
      </c>
      <c r="AE19" t="s">
        <v>26</v>
      </c>
      <c r="AF19" t="s">
        <v>21</v>
      </c>
      <c r="AG19" s="5">
        <v>67.8</v>
      </c>
      <c r="AH19" s="2">
        <v>678</v>
      </c>
      <c r="AI19" t="s">
        <v>22</v>
      </c>
      <c r="AJ19" s="4">
        <v>46080</v>
      </c>
      <c r="AK19" s="4">
        <v>46085</v>
      </c>
      <c r="AL19" s="4">
        <v>46080</v>
      </c>
      <c r="AM19" t="s">
        <v>2</v>
      </c>
      <c r="AN19" t="s">
        <v>2</v>
      </c>
      <c r="AO19" t="s">
        <v>23</v>
      </c>
    </row>
    <row r="20" spans="1:41" x14ac:dyDescent="0.2">
      <c r="A20" t="s">
        <v>0</v>
      </c>
      <c r="B20" t="s">
        <v>1</v>
      </c>
      <c r="C20" t="s">
        <v>2</v>
      </c>
      <c r="D20" t="s">
        <v>41</v>
      </c>
      <c r="E20" t="s">
        <v>4</v>
      </c>
      <c r="F20" t="s">
        <v>19</v>
      </c>
      <c r="G20" t="s">
        <v>6</v>
      </c>
      <c r="H20" t="s">
        <v>60</v>
      </c>
      <c r="I20" t="str">
        <f t="shared" si="0"/>
        <v>PXCBC-F67008CAW</v>
      </c>
      <c r="J20" t="s">
        <v>61</v>
      </c>
      <c r="K20" t="s">
        <v>32</v>
      </c>
      <c r="L20" s="2">
        <v>67.8</v>
      </c>
      <c r="M20" s="7">
        <v>10</v>
      </c>
      <c r="N20" s="3" t="str">
        <f t="shared" si="1"/>
        <v>CAW</v>
      </c>
      <c r="O20" t="s">
        <v>63</v>
      </c>
      <c r="P20" s="4">
        <v>46080</v>
      </c>
      <c r="Q20" t="s">
        <v>11</v>
      </c>
      <c r="R20" t="s">
        <v>2</v>
      </c>
      <c r="S20" t="s">
        <v>12</v>
      </c>
      <c r="T20" s="4">
        <v>46080</v>
      </c>
      <c r="U20" t="s">
        <v>13</v>
      </c>
      <c r="V20" t="s">
        <v>2</v>
      </c>
      <c r="W20" t="s">
        <v>14</v>
      </c>
      <c r="X20" t="s">
        <v>15</v>
      </c>
      <c r="Y20" t="s">
        <v>16</v>
      </c>
      <c r="Z20" t="s">
        <v>17</v>
      </c>
      <c r="AA20" t="s">
        <v>17</v>
      </c>
      <c r="AB20" t="s">
        <v>18</v>
      </c>
      <c r="AC20" t="s">
        <v>19</v>
      </c>
      <c r="AD20" t="s">
        <v>34</v>
      </c>
      <c r="AE20" t="s">
        <v>12</v>
      </c>
      <c r="AF20" t="s">
        <v>21</v>
      </c>
      <c r="AG20" s="5">
        <v>67.8</v>
      </c>
      <c r="AH20" s="2">
        <v>678</v>
      </c>
      <c r="AI20" t="s">
        <v>22</v>
      </c>
      <c r="AJ20" s="4">
        <v>46080</v>
      </c>
      <c r="AK20" s="4">
        <v>46085</v>
      </c>
      <c r="AL20" s="4">
        <v>46080</v>
      </c>
      <c r="AM20" t="s">
        <v>2</v>
      </c>
      <c r="AN20" t="s">
        <v>2</v>
      </c>
      <c r="AO20" t="s">
        <v>23</v>
      </c>
    </row>
    <row r="21" spans="1:41" x14ac:dyDescent="0.2">
      <c r="A21" t="s">
        <v>0</v>
      </c>
      <c r="B21" t="s">
        <v>1</v>
      </c>
      <c r="C21" t="s">
        <v>2</v>
      </c>
      <c r="D21" t="s">
        <v>64</v>
      </c>
      <c r="E21" t="s">
        <v>65</v>
      </c>
      <c r="F21" t="s">
        <v>66</v>
      </c>
      <c r="G21" t="s">
        <v>6</v>
      </c>
      <c r="H21" t="s">
        <v>67</v>
      </c>
      <c r="I21" t="str">
        <f t="shared" si="0"/>
        <v>PXBHZ-F65101LZZ</v>
      </c>
      <c r="J21" t="s">
        <v>43</v>
      </c>
      <c r="K21" t="s">
        <v>44</v>
      </c>
      <c r="L21" s="2">
        <v>22.4</v>
      </c>
      <c r="M21" s="7">
        <v>5</v>
      </c>
      <c r="N21" s="3" t="str">
        <f t="shared" si="1"/>
        <v>LZZ</v>
      </c>
      <c r="O21" t="s">
        <v>24</v>
      </c>
      <c r="P21" s="4">
        <v>46079</v>
      </c>
      <c r="Q21" t="s">
        <v>11</v>
      </c>
      <c r="R21" t="s">
        <v>2</v>
      </c>
      <c r="S21" t="s">
        <v>12</v>
      </c>
      <c r="T21" s="4">
        <v>46079</v>
      </c>
      <c r="U21" t="s">
        <v>13</v>
      </c>
      <c r="V21" t="s">
        <v>2</v>
      </c>
      <c r="W21" t="s">
        <v>14</v>
      </c>
      <c r="X21" t="s">
        <v>15</v>
      </c>
      <c r="Y21" t="s">
        <v>16</v>
      </c>
      <c r="Z21" t="s">
        <v>68</v>
      </c>
      <c r="AA21" t="s">
        <v>68</v>
      </c>
      <c r="AB21" t="s">
        <v>18</v>
      </c>
      <c r="AC21" t="s">
        <v>19</v>
      </c>
      <c r="AD21" t="s">
        <v>25</v>
      </c>
      <c r="AE21" t="s">
        <v>45</v>
      </c>
      <c r="AF21" t="s">
        <v>21</v>
      </c>
      <c r="AG21" s="5">
        <v>22.4</v>
      </c>
      <c r="AH21" s="2">
        <v>112</v>
      </c>
      <c r="AI21" t="s">
        <v>22</v>
      </c>
      <c r="AJ21" s="4">
        <v>46079</v>
      </c>
      <c r="AK21" s="4">
        <v>46085</v>
      </c>
      <c r="AL21" s="4">
        <v>46079</v>
      </c>
      <c r="AM21" t="s">
        <v>2</v>
      </c>
      <c r="AN21" t="s">
        <v>2</v>
      </c>
      <c r="AO21" t="s">
        <v>23</v>
      </c>
    </row>
    <row r="22" spans="1:41" x14ac:dyDescent="0.2">
      <c r="A22" t="s">
        <v>0</v>
      </c>
      <c r="B22" t="s">
        <v>1</v>
      </c>
      <c r="C22" t="s">
        <v>2</v>
      </c>
      <c r="D22" t="s">
        <v>64</v>
      </c>
      <c r="E22" t="s">
        <v>65</v>
      </c>
      <c r="F22" t="s">
        <v>66</v>
      </c>
      <c r="G22" t="s">
        <v>6</v>
      </c>
      <c r="H22" t="s">
        <v>67</v>
      </c>
      <c r="I22" t="str">
        <f t="shared" si="0"/>
        <v>PXBHZ-F65101LZZ</v>
      </c>
      <c r="J22" t="s">
        <v>43</v>
      </c>
      <c r="K22" t="s">
        <v>44</v>
      </c>
      <c r="L22" s="2">
        <v>22.4</v>
      </c>
      <c r="M22" s="7">
        <v>5</v>
      </c>
      <c r="N22" s="3" t="str">
        <f t="shared" si="1"/>
        <v>LZZ</v>
      </c>
      <c r="O22" t="s">
        <v>46</v>
      </c>
      <c r="P22" s="4">
        <v>46079</v>
      </c>
      <c r="Q22" t="s">
        <v>11</v>
      </c>
      <c r="R22" t="s">
        <v>2</v>
      </c>
      <c r="S22" t="s">
        <v>12</v>
      </c>
      <c r="T22" s="4">
        <v>46079</v>
      </c>
      <c r="U22" t="s">
        <v>13</v>
      </c>
      <c r="V22" t="s">
        <v>2</v>
      </c>
      <c r="W22" t="s">
        <v>14</v>
      </c>
      <c r="X22" t="s">
        <v>15</v>
      </c>
      <c r="Y22" t="s">
        <v>16</v>
      </c>
      <c r="Z22" t="s">
        <v>68</v>
      </c>
      <c r="AA22" t="s">
        <v>68</v>
      </c>
      <c r="AB22" t="s">
        <v>18</v>
      </c>
      <c r="AC22" t="s">
        <v>19</v>
      </c>
      <c r="AD22" t="s">
        <v>47</v>
      </c>
      <c r="AE22" t="s">
        <v>29</v>
      </c>
      <c r="AF22" t="s">
        <v>21</v>
      </c>
      <c r="AG22" s="5">
        <v>22.4</v>
      </c>
      <c r="AH22" s="2">
        <v>112</v>
      </c>
      <c r="AI22" t="s">
        <v>22</v>
      </c>
      <c r="AJ22" s="4">
        <v>46079</v>
      </c>
      <c r="AK22" s="4">
        <v>46085</v>
      </c>
      <c r="AL22" s="4">
        <v>46079</v>
      </c>
      <c r="AM22" t="s">
        <v>2</v>
      </c>
      <c r="AN22" t="s">
        <v>2</v>
      </c>
      <c r="AO22" t="s">
        <v>23</v>
      </c>
    </row>
    <row r="23" spans="1:41" x14ac:dyDescent="0.2">
      <c r="A23" t="s">
        <v>0</v>
      </c>
      <c r="B23" t="s">
        <v>1</v>
      </c>
      <c r="C23" t="s">
        <v>2</v>
      </c>
      <c r="D23" t="s">
        <v>64</v>
      </c>
      <c r="E23" t="s">
        <v>65</v>
      </c>
      <c r="F23" t="s">
        <v>66</v>
      </c>
      <c r="G23" t="s">
        <v>6</v>
      </c>
      <c r="H23" t="s">
        <v>67</v>
      </c>
      <c r="I23" t="str">
        <f t="shared" si="0"/>
        <v>PXBHZ-F65101LZZ</v>
      </c>
      <c r="J23" t="s">
        <v>43</v>
      </c>
      <c r="K23" t="s">
        <v>44</v>
      </c>
      <c r="L23" s="2">
        <v>22.4</v>
      </c>
      <c r="M23" s="7">
        <v>5</v>
      </c>
      <c r="N23" s="3" t="str">
        <f t="shared" si="1"/>
        <v>LZZ</v>
      </c>
      <c r="O23" t="s">
        <v>48</v>
      </c>
      <c r="P23" s="4">
        <v>46079</v>
      </c>
      <c r="Q23" t="s">
        <v>11</v>
      </c>
      <c r="R23" t="s">
        <v>2</v>
      </c>
      <c r="S23" t="s">
        <v>12</v>
      </c>
      <c r="T23" s="4">
        <v>46079</v>
      </c>
      <c r="U23" t="s">
        <v>13</v>
      </c>
      <c r="V23" t="s">
        <v>2</v>
      </c>
      <c r="W23" t="s">
        <v>14</v>
      </c>
      <c r="X23" t="s">
        <v>15</v>
      </c>
      <c r="Y23" t="s">
        <v>16</v>
      </c>
      <c r="Z23" t="s">
        <v>68</v>
      </c>
      <c r="AA23" t="s">
        <v>68</v>
      </c>
      <c r="AB23" t="s">
        <v>18</v>
      </c>
      <c r="AC23" t="s">
        <v>19</v>
      </c>
      <c r="AD23" t="s">
        <v>49</v>
      </c>
      <c r="AE23" t="s">
        <v>26</v>
      </c>
      <c r="AF23" t="s">
        <v>21</v>
      </c>
      <c r="AG23" s="5">
        <v>22.4</v>
      </c>
      <c r="AH23" s="2">
        <v>112</v>
      </c>
      <c r="AI23" t="s">
        <v>22</v>
      </c>
      <c r="AJ23" s="4">
        <v>46079</v>
      </c>
      <c r="AK23" s="4">
        <v>46085</v>
      </c>
      <c r="AL23" s="4">
        <v>46079</v>
      </c>
      <c r="AM23" t="s">
        <v>2</v>
      </c>
      <c r="AN23" t="s">
        <v>2</v>
      </c>
      <c r="AO23" t="s">
        <v>23</v>
      </c>
    </row>
    <row r="24" spans="1:41" x14ac:dyDescent="0.2">
      <c r="A24" t="s">
        <v>0</v>
      </c>
      <c r="B24" t="s">
        <v>1</v>
      </c>
      <c r="C24" t="s">
        <v>2</v>
      </c>
      <c r="D24" t="s">
        <v>64</v>
      </c>
      <c r="E24" t="s">
        <v>65</v>
      </c>
      <c r="F24" t="s">
        <v>66</v>
      </c>
      <c r="G24" t="s">
        <v>6</v>
      </c>
      <c r="H24" t="s">
        <v>67</v>
      </c>
      <c r="I24" t="str">
        <f t="shared" si="0"/>
        <v>PXBHZ-F65101LZZ</v>
      </c>
      <c r="J24" t="s">
        <v>43</v>
      </c>
      <c r="K24" t="s">
        <v>44</v>
      </c>
      <c r="L24" s="2">
        <v>22.4</v>
      </c>
      <c r="M24" s="7">
        <v>5</v>
      </c>
      <c r="N24" s="3" t="str">
        <f t="shared" si="1"/>
        <v>LZZ</v>
      </c>
      <c r="O24" t="s">
        <v>50</v>
      </c>
      <c r="P24" s="4">
        <v>46079</v>
      </c>
      <c r="Q24" t="s">
        <v>11</v>
      </c>
      <c r="R24" t="s">
        <v>2</v>
      </c>
      <c r="S24" t="s">
        <v>12</v>
      </c>
      <c r="T24" s="4">
        <v>46079</v>
      </c>
      <c r="U24" t="s">
        <v>13</v>
      </c>
      <c r="V24" t="s">
        <v>2</v>
      </c>
      <c r="W24" t="s">
        <v>14</v>
      </c>
      <c r="X24" t="s">
        <v>15</v>
      </c>
      <c r="Y24" t="s">
        <v>16</v>
      </c>
      <c r="Z24" t="s">
        <v>68</v>
      </c>
      <c r="AA24" t="s">
        <v>68</v>
      </c>
      <c r="AB24" t="s">
        <v>18</v>
      </c>
      <c r="AC24" t="s">
        <v>19</v>
      </c>
      <c r="AD24" t="s">
        <v>51</v>
      </c>
      <c r="AE24" t="s">
        <v>12</v>
      </c>
      <c r="AF24" t="s">
        <v>21</v>
      </c>
      <c r="AG24" s="5">
        <v>22.4</v>
      </c>
      <c r="AH24" s="2">
        <v>112</v>
      </c>
      <c r="AI24" t="s">
        <v>22</v>
      </c>
      <c r="AJ24" s="4">
        <v>46079</v>
      </c>
      <c r="AK24" s="4">
        <v>46085</v>
      </c>
      <c r="AL24" s="4">
        <v>46079</v>
      </c>
      <c r="AM24" t="s">
        <v>2</v>
      </c>
      <c r="AN24" t="s">
        <v>2</v>
      </c>
      <c r="AO24" t="s">
        <v>23</v>
      </c>
    </row>
    <row r="25" spans="1:41" x14ac:dyDescent="0.2">
      <c r="A25" t="s">
        <v>0</v>
      </c>
      <c r="B25" t="s">
        <v>1</v>
      </c>
      <c r="C25" t="s">
        <v>2</v>
      </c>
      <c r="D25" t="s">
        <v>64</v>
      </c>
      <c r="E25" t="s">
        <v>65</v>
      </c>
      <c r="F25" t="s">
        <v>66</v>
      </c>
      <c r="G25" t="s">
        <v>6</v>
      </c>
      <c r="H25" t="s">
        <v>69</v>
      </c>
      <c r="I25" t="str">
        <f t="shared" si="0"/>
        <v>PXBHZ-H65077LZZ</v>
      </c>
      <c r="J25" t="s">
        <v>8</v>
      </c>
      <c r="K25" t="s">
        <v>9</v>
      </c>
      <c r="L25" s="2">
        <v>31.5</v>
      </c>
      <c r="M25" s="7">
        <v>10</v>
      </c>
      <c r="N25" s="3" t="str">
        <f t="shared" si="1"/>
        <v>LZZ</v>
      </c>
      <c r="O25" t="s">
        <v>10</v>
      </c>
      <c r="P25" s="4">
        <v>46079</v>
      </c>
      <c r="Q25" t="s">
        <v>11</v>
      </c>
      <c r="R25" t="s">
        <v>2</v>
      </c>
      <c r="S25" t="s">
        <v>12</v>
      </c>
      <c r="T25" s="4">
        <v>46079</v>
      </c>
      <c r="U25" t="s">
        <v>13</v>
      </c>
      <c r="V25" t="s">
        <v>2</v>
      </c>
      <c r="W25" t="s">
        <v>14</v>
      </c>
      <c r="X25" t="s">
        <v>15</v>
      </c>
      <c r="Y25" t="s">
        <v>16</v>
      </c>
      <c r="Z25" t="s">
        <v>68</v>
      </c>
      <c r="AA25" t="s">
        <v>68</v>
      </c>
      <c r="AB25" t="s">
        <v>18</v>
      </c>
      <c r="AC25" t="s">
        <v>19</v>
      </c>
      <c r="AD25" t="s">
        <v>20</v>
      </c>
      <c r="AE25" t="s">
        <v>12</v>
      </c>
      <c r="AF25" t="s">
        <v>21</v>
      </c>
      <c r="AG25" s="5">
        <v>31.5</v>
      </c>
      <c r="AH25" s="2">
        <v>315</v>
      </c>
      <c r="AI25" t="s">
        <v>22</v>
      </c>
      <c r="AJ25" s="4">
        <v>46079</v>
      </c>
      <c r="AK25" s="4">
        <v>46085</v>
      </c>
      <c r="AL25" s="4">
        <v>46079</v>
      </c>
      <c r="AM25" t="s">
        <v>2</v>
      </c>
      <c r="AN25" t="s">
        <v>2</v>
      </c>
      <c r="AO25" t="s">
        <v>23</v>
      </c>
    </row>
    <row r="26" spans="1:41" x14ac:dyDescent="0.2">
      <c r="A26" t="s">
        <v>0</v>
      </c>
      <c r="B26" t="s">
        <v>1</v>
      </c>
      <c r="C26" t="s">
        <v>2</v>
      </c>
      <c r="D26" t="s">
        <v>64</v>
      </c>
      <c r="E26" t="s">
        <v>65</v>
      </c>
      <c r="F26" t="s">
        <v>66</v>
      </c>
      <c r="G26" t="s">
        <v>6</v>
      </c>
      <c r="H26" t="s">
        <v>69</v>
      </c>
      <c r="I26" t="str">
        <f t="shared" si="0"/>
        <v>PXBHZ-H65077CAE</v>
      </c>
      <c r="J26" t="s">
        <v>8</v>
      </c>
      <c r="K26" t="s">
        <v>9</v>
      </c>
      <c r="L26" s="2">
        <v>31.5</v>
      </c>
      <c r="M26" s="7">
        <v>15</v>
      </c>
      <c r="N26" s="3" t="str">
        <f t="shared" si="1"/>
        <v>CAE</v>
      </c>
      <c r="O26" t="s">
        <v>70</v>
      </c>
      <c r="P26" s="4">
        <v>46079</v>
      </c>
      <c r="Q26" t="s">
        <v>11</v>
      </c>
      <c r="R26" t="s">
        <v>2</v>
      </c>
      <c r="S26" t="s">
        <v>12</v>
      </c>
      <c r="T26" s="4">
        <v>46079</v>
      </c>
      <c r="U26" t="s">
        <v>13</v>
      </c>
      <c r="V26" t="s">
        <v>2</v>
      </c>
      <c r="W26" t="s">
        <v>14</v>
      </c>
      <c r="X26" t="s">
        <v>15</v>
      </c>
      <c r="Y26" t="s">
        <v>16</v>
      </c>
      <c r="Z26" t="s">
        <v>68</v>
      </c>
      <c r="AA26" t="s">
        <v>68</v>
      </c>
      <c r="AB26" t="s">
        <v>18</v>
      </c>
      <c r="AC26" t="s">
        <v>19</v>
      </c>
      <c r="AD26" t="s">
        <v>20</v>
      </c>
      <c r="AE26" t="s">
        <v>71</v>
      </c>
      <c r="AF26" t="s">
        <v>21</v>
      </c>
      <c r="AG26" s="5">
        <v>31.5</v>
      </c>
      <c r="AH26" s="2">
        <v>472.5</v>
      </c>
      <c r="AI26" t="s">
        <v>22</v>
      </c>
      <c r="AJ26" s="4">
        <v>46079</v>
      </c>
      <c r="AK26" s="4">
        <v>46085</v>
      </c>
      <c r="AL26" s="4">
        <v>46079</v>
      </c>
      <c r="AM26" t="s">
        <v>2</v>
      </c>
      <c r="AN26" t="s">
        <v>2</v>
      </c>
      <c r="AO26" t="s">
        <v>23</v>
      </c>
    </row>
    <row r="27" spans="1:41" x14ac:dyDescent="0.2">
      <c r="A27" t="s">
        <v>0</v>
      </c>
      <c r="B27" t="s">
        <v>1</v>
      </c>
      <c r="C27" t="s">
        <v>2</v>
      </c>
      <c r="D27" t="s">
        <v>64</v>
      </c>
      <c r="E27" t="s">
        <v>65</v>
      </c>
      <c r="F27" t="s">
        <v>66</v>
      </c>
      <c r="G27" t="s">
        <v>6</v>
      </c>
      <c r="H27" t="s">
        <v>69</v>
      </c>
      <c r="I27" t="str">
        <f t="shared" si="0"/>
        <v>PXBHZ-H65077LZZ</v>
      </c>
      <c r="J27" t="s">
        <v>8</v>
      </c>
      <c r="K27" t="s">
        <v>9</v>
      </c>
      <c r="L27" s="2">
        <v>31.5</v>
      </c>
      <c r="M27" s="7">
        <v>5</v>
      </c>
      <c r="N27" s="3" t="str">
        <f t="shared" si="1"/>
        <v>LZZ</v>
      </c>
      <c r="O27" t="s">
        <v>24</v>
      </c>
      <c r="P27" s="4">
        <v>46079</v>
      </c>
      <c r="Q27" t="s">
        <v>11</v>
      </c>
      <c r="R27" t="s">
        <v>2</v>
      </c>
      <c r="S27" t="s">
        <v>12</v>
      </c>
      <c r="T27" s="4">
        <v>46079</v>
      </c>
      <c r="U27" t="s">
        <v>13</v>
      </c>
      <c r="V27" t="s">
        <v>2</v>
      </c>
      <c r="W27" t="s">
        <v>14</v>
      </c>
      <c r="X27" t="s">
        <v>15</v>
      </c>
      <c r="Y27" t="s">
        <v>16</v>
      </c>
      <c r="Z27" t="s">
        <v>68</v>
      </c>
      <c r="AA27" t="s">
        <v>68</v>
      </c>
      <c r="AB27" t="s">
        <v>18</v>
      </c>
      <c r="AC27" t="s">
        <v>19</v>
      </c>
      <c r="AD27" t="s">
        <v>25</v>
      </c>
      <c r="AE27" t="s">
        <v>26</v>
      </c>
      <c r="AF27" t="s">
        <v>21</v>
      </c>
      <c r="AG27" s="5">
        <v>31.5</v>
      </c>
      <c r="AH27" s="2">
        <v>157.5</v>
      </c>
      <c r="AI27" t="s">
        <v>22</v>
      </c>
      <c r="AJ27" s="4">
        <v>46079</v>
      </c>
      <c r="AK27" s="4">
        <v>46085</v>
      </c>
      <c r="AL27" s="4">
        <v>46079</v>
      </c>
      <c r="AM27" t="s">
        <v>2</v>
      </c>
      <c r="AN27" t="s">
        <v>2</v>
      </c>
      <c r="AO27" t="s">
        <v>23</v>
      </c>
    </row>
    <row r="28" spans="1:41" x14ac:dyDescent="0.2">
      <c r="A28" t="s">
        <v>0</v>
      </c>
      <c r="B28" t="s">
        <v>1</v>
      </c>
      <c r="C28" t="s">
        <v>2</v>
      </c>
      <c r="D28" t="s">
        <v>64</v>
      </c>
      <c r="E28" t="s">
        <v>65</v>
      </c>
      <c r="F28" t="s">
        <v>66</v>
      </c>
      <c r="G28" t="s">
        <v>6</v>
      </c>
      <c r="H28" t="s">
        <v>69</v>
      </c>
      <c r="I28" t="str">
        <f t="shared" si="0"/>
        <v>PXBHZ-H65077CAE</v>
      </c>
      <c r="J28" t="s">
        <v>8</v>
      </c>
      <c r="K28" t="s">
        <v>9</v>
      </c>
      <c r="L28" s="2">
        <v>31.5</v>
      </c>
      <c r="M28" s="7">
        <v>10</v>
      </c>
      <c r="N28" s="3" t="str">
        <f t="shared" si="1"/>
        <v>CAE</v>
      </c>
      <c r="O28" t="s">
        <v>72</v>
      </c>
      <c r="P28" s="4">
        <v>46079</v>
      </c>
      <c r="Q28" t="s">
        <v>11</v>
      </c>
      <c r="R28" t="s">
        <v>2</v>
      </c>
      <c r="S28" t="s">
        <v>12</v>
      </c>
      <c r="T28" s="4">
        <v>46079</v>
      </c>
      <c r="U28" t="s">
        <v>13</v>
      </c>
      <c r="V28" t="s">
        <v>2</v>
      </c>
      <c r="W28" t="s">
        <v>14</v>
      </c>
      <c r="X28" t="s">
        <v>15</v>
      </c>
      <c r="Y28" t="s">
        <v>16</v>
      </c>
      <c r="Z28" t="s">
        <v>68</v>
      </c>
      <c r="AA28" t="s">
        <v>68</v>
      </c>
      <c r="AB28" t="s">
        <v>18</v>
      </c>
      <c r="AC28" t="s">
        <v>19</v>
      </c>
      <c r="AD28" t="s">
        <v>25</v>
      </c>
      <c r="AE28" t="s">
        <v>73</v>
      </c>
      <c r="AF28" t="s">
        <v>21</v>
      </c>
      <c r="AG28" s="5">
        <v>31.5</v>
      </c>
      <c r="AH28" s="2">
        <v>315</v>
      </c>
      <c r="AI28" t="s">
        <v>22</v>
      </c>
      <c r="AJ28" s="4">
        <v>46079</v>
      </c>
      <c r="AK28" s="4">
        <v>46085</v>
      </c>
      <c r="AL28" s="4">
        <v>46079</v>
      </c>
      <c r="AM28" t="s">
        <v>2</v>
      </c>
      <c r="AN28" t="s">
        <v>2</v>
      </c>
      <c r="AO28" t="s">
        <v>23</v>
      </c>
    </row>
    <row r="29" spans="1:41" x14ac:dyDescent="0.2">
      <c r="A29" t="s">
        <v>0</v>
      </c>
      <c r="B29" t="s">
        <v>1</v>
      </c>
      <c r="C29" t="s">
        <v>2</v>
      </c>
      <c r="D29" t="s">
        <v>64</v>
      </c>
      <c r="E29" t="s">
        <v>65</v>
      </c>
      <c r="F29" t="s">
        <v>66</v>
      </c>
      <c r="G29" t="s">
        <v>6</v>
      </c>
      <c r="H29" t="s">
        <v>69</v>
      </c>
      <c r="I29" t="str">
        <f t="shared" si="0"/>
        <v>PXBHZ-H65077LZZ</v>
      </c>
      <c r="J29" t="s">
        <v>8</v>
      </c>
      <c r="K29" t="s">
        <v>9</v>
      </c>
      <c r="L29" s="2">
        <v>31.5</v>
      </c>
      <c r="M29" s="7">
        <v>5</v>
      </c>
      <c r="N29" s="3" t="str">
        <f t="shared" si="1"/>
        <v>LZZ</v>
      </c>
      <c r="O29" t="s">
        <v>46</v>
      </c>
      <c r="P29" s="4">
        <v>46079</v>
      </c>
      <c r="Q29" t="s">
        <v>11</v>
      </c>
      <c r="R29" t="s">
        <v>2</v>
      </c>
      <c r="S29" t="s">
        <v>12</v>
      </c>
      <c r="T29" s="4">
        <v>46079</v>
      </c>
      <c r="U29" t="s">
        <v>13</v>
      </c>
      <c r="V29" t="s">
        <v>2</v>
      </c>
      <c r="W29" t="s">
        <v>14</v>
      </c>
      <c r="X29" t="s">
        <v>15</v>
      </c>
      <c r="Y29" t="s">
        <v>16</v>
      </c>
      <c r="Z29" t="s">
        <v>68</v>
      </c>
      <c r="AA29" t="s">
        <v>68</v>
      </c>
      <c r="AB29" t="s">
        <v>18</v>
      </c>
      <c r="AC29" t="s">
        <v>19</v>
      </c>
      <c r="AD29" t="s">
        <v>47</v>
      </c>
      <c r="AE29" t="s">
        <v>29</v>
      </c>
      <c r="AF29" t="s">
        <v>21</v>
      </c>
      <c r="AG29" s="5">
        <v>31.5</v>
      </c>
      <c r="AH29" s="2">
        <v>157.5</v>
      </c>
      <c r="AI29" t="s">
        <v>22</v>
      </c>
      <c r="AJ29" s="4">
        <v>46079</v>
      </c>
      <c r="AK29" s="4">
        <v>46085</v>
      </c>
      <c r="AL29" s="4">
        <v>46079</v>
      </c>
      <c r="AM29" t="s">
        <v>2</v>
      </c>
      <c r="AN29" t="s">
        <v>2</v>
      </c>
      <c r="AO29" t="s">
        <v>23</v>
      </c>
    </row>
    <row r="30" spans="1:41" x14ac:dyDescent="0.2">
      <c r="A30" t="s">
        <v>0</v>
      </c>
      <c r="B30" t="s">
        <v>1</v>
      </c>
      <c r="C30" t="s">
        <v>2</v>
      </c>
      <c r="D30" t="s">
        <v>64</v>
      </c>
      <c r="E30" t="s">
        <v>65</v>
      </c>
      <c r="F30" t="s">
        <v>66</v>
      </c>
      <c r="G30" t="s">
        <v>6</v>
      </c>
      <c r="H30" t="s">
        <v>69</v>
      </c>
      <c r="I30" t="str">
        <f t="shared" si="0"/>
        <v>PXBHZ-H65077CAE</v>
      </c>
      <c r="J30" t="s">
        <v>8</v>
      </c>
      <c r="K30" t="s">
        <v>9</v>
      </c>
      <c r="L30" s="2">
        <v>31.5</v>
      </c>
      <c r="M30" s="7">
        <v>10</v>
      </c>
      <c r="N30" s="3" t="str">
        <f t="shared" si="1"/>
        <v>CAE</v>
      </c>
      <c r="O30" t="s">
        <v>74</v>
      </c>
      <c r="P30" s="4">
        <v>46079</v>
      </c>
      <c r="Q30" t="s">
        <v>11</v>
      </c>
      <c r="R30" t="s">
        <v>2</v>
      </c>
      <c r="S30" t="s">
        <v>12</v>
      </c>
      <c r="T30" s="4">
        <v>46079</v>
      </c>
      <c r="U30" t="s">
        <v>13</v>
      </c>
      <c r="V30" t="s">
        <v>2</v>
      </c>
      <c r="W30" t="s">
        <v>14</v>
      </c>
      <c r="X30" t="s">
        <v>15</v>
      </c>
      <c r="Y30" t="s">
        <v>16</v>
      </c>
      <c r="Z30" t="s">
        <v>68</v>
      </c>
      <c r="AA30" t="s">
        <v>68</v>
      </c>
      <c r="AB30" t="s">
        <v>18</v>
      </c>
      <c r="AC30" t="s">
        <v>19</v>
      </c>
      <c r="AD30" t="s">
        <v>47</v>
      </c>
      <c r="AE30" t="s">
        <v>75</v>
      </c>
      <c r="AF30" t="s">
        <v>21</v>
      </c>
      <c r="AG30" s="5">
        <v>31.5</v>
      </c>
      <c r="AH30" s="2">
        <v>315</v>
      </c>
      <c r="AI30" t="s">
        <v>22</v>
      </c>
      <c r="AJ30" s="4">
        <v>46079</v>
      </c>
      <c r="AK30" s="4">
        <v>46085</v>
      </c>
      <c r="AL30" s="4">
        <v>46079</v>
      </c>
      <c r="AM30" t="s">
        <v>2</v>
      </c>
      <c r="AN30" t="s">
        <v>2</v>
      </c>
      <c r="AO30" t="s">
        <v>23</v>
      </c>
    </row>
    <row r="31" spans="1:41" x14ac:dyDescent="0.2">
      <c r="A31" t="s">
        <v>0</v>
      </c>
      <c r="B31" t="s">
        <v>1</v>
      </c>
      <c r="C31" t="s">
        <v>2</v>
      </c>
      <c r="D31" t="s">
        <v>64</v>
      </c>
      <c r="E31" t="s">
        <v>65</v>
      </c>
      <c r="F31" t="s">
        <v>66</v>
      </c>
      <c r="G31" t="s">
        <v>6</v>
      </c>
      <c r="H31" t="s">
        <v>69</v>
      </c>
      <c r="I31" t="str">
        <f t="shared" si="0"/>
        <v>PXBHZ-H65077LZZ</v>
      </c>
      <c r="J31" t="s">
        <v>8</v>
      </c>
      <c r="K31" t="s">
        <v>9</v>
      </c>
      <c r="L31" s="2">
        <v>31.5</v>
      </c>
      <c r="M31" s="7">
        <v>5</v>
      </c>
      <c r="N31" s="3" t="str">
        <f t="shared" si="1"/>
        <v>LZZ</v>
      </c>
      <c r="O31" t="s">
        <v>27</v>
      </c>
      <c r="P31" s="4">
        <v>46079</v>
      </c>
      <c r="Q31" t="s">
        <v>11</v>
      </c>
      <c r="R31" t="s">
        <v>2</v>
      </c>
      <c r="S31" t="s">
        <v>12</v>
      </c>
      <c r="T31" s="4">
        <v>46079</v>
      </c>
      <c r="U31" t="s">
        <v>13</v>
      </c>
      <c r="V31" t="s">
        <v>2</v>
      </c>
      <c r="W31" t="s">
        <v>14</v>
      </c>
      <c r="X31" t="s">
        <v>15</v>
      </c>
      <c r="Y31" t="s">
        <v>16</v>
      </c>
      <c r="Z31" t="s">
        <v>68</v>
      </c>
      <c r="AA31" t="s">
        <v>68</v>
      </c>
      <c r="AB31" t="s">
        <v>18</v>
      </c>
      <c r="AC31" t="s">
        <v>19</v>
      </c>
      <c r="AD31" t="s">
        <v>28</v>
      </c>
      <c r="AE31" t="s">
        <v>45</v>
      </c>
      <c r="AF31" t="s">
        <v>21</v>
      </c>
      <c r="AG31" s="5">
        <v>31.5</v>
      </c>
      <c r="AH31" s="2">
        <v>157.5</v>
      </c>
      <c r="AI31" t="s">
        <v>22</v>
      </c>
      <c r="AJ31" s="4">
        <v>46079</v>
      </c>
      <c r="AK31" s="4">
        <v>46085</v>
      </c>
      <c r="AL31" s="4">
        <v>46079</v>
      </c>
      <c r="AM31" t="s">
        <v>2</v>
      </c>
      <c r="AN31" t="s">
        <v>2</v>
      </c>
      <c r="AO31" t="s">
        <v>23</v>
      </c>
    </row>
    <row r="32" spans="1:41" x14ac:dyDescent="0.2">
      <c r="A32" t="s">
        <v>0</v>
      </c>
      <c r="B32" t="s">
        <v>1</v>
      </c>
      <c r="C32" t="s">
        <v>2</v>
      </c>
      <c r="D32" t="s">
        <v>64</v>
      </c>
      <c r="E32" t="s">
        <v>65</v>
      </c>
      <c r="F32" t="s">
        <v>66</v>
      </c>
      <c r="G32" t="s">
        <v>6</v>
      </c>
      <c r="H32" t="s">
        <v>69</v>
      </c>
      <c r="I32" t="str">
        <f t="shared" si="0"/>
        <v>PXBHZ-H65077CAE</v>
      </c>
      <c r="J32" t="s">
        <v>8</v>
      </c>
      <c r="K32" t="s">
        <v>9</v>
      </c>
      <c r="L32" s="2">
        <v>31.5</v>
      </c>
      <c r="M32" s="7">
        <v>15</v>
      </c>
      <c r="N32" s="3" t="str">
        <f t="shared" si="1"/>
        <v>CAE</v>
      </c>
      <c r="O32" t="s">
        <v>76</v>
      </c>
      <c r="P32" s="4">
        <v>46079</v>
      </c>
      <c r="Q32" t="s">
        <v>11</v>
      </c>
      <c r="R32" t="s">
        <v>2</v>
      </c>
      <c r="S32" t="s">
        <v>12</v>
      </c>
      <c r="T32" s="4">
        <v>46079</v>
      </c>
      <c r="U32" t="s">
        <v>13</v>
      </c>
      <c r="V32" t="s">
        <v>2</v>
      </c>
      <c r="W32" t="s">
        <v>14</v>
      </c>
      <c r="X32" t="s">
        <v>15</v>
      </c>
      <c r="Y32" t="s">
        <v>16</v>
      </c>
      <c r="Z32" t="s">
        <v>68</v>
      </c>
      <c r="AA32" t="s">
        <v>68</v>
      </c>
      <c r="AB32" t="s">
        <v>18</v>
      </c>
      <c r="AC32" t="s">
        <v>19</v>
      </c>
      <c r="AD32" t="s">
        <v>28</v>
      </c>
      <c r="AE32" t="s">
        <v>77</v>
      </c>
      <c r="AF32" t="s">
        <v>21</v>
      </c>
      <c r="AG32" s="5">
        <v>31.5</v>
      </c>
      <c r="AH32" s="2">
        <v>472.5</v>
      </c>
      <c r="AI32" t="s">
        <v>22</v>
      </c>
      <c r="AJ32" s="4">
        <v>46079</v>
      </c>
      <c r="AK32" s="4">
        <v>46085</v>
      </c>
      <c r="AL32" s="4">
        <v>46079</v>
      </c>
      <c r="AM32" t="s">
        <v>2</v>
      </c>
      <c r="AN32" t="s">
        <v>2</v>
      </c>
      <c r="AO32" t="s">
        <v>23</v>
      </c>
    </row>
    <row r="33" spans="1:41" x14ac:dyDescent="0.2">
      <c r="A33" t="s">
        <v>0</v>
      </c>
      <c r="B33" t="s">
        <v>1</v>
      </c>
      <c r="C33" t="s">
        <v>2</v>
      </c>
      <c r="D33" t="s">
        <v>64</v>
      </c>
      <c r="E33" t="s">
        <v>65</v>
      </c>
      <c r="F33" t="s">
        <v>66</v>
      </c>
      <c r="G33" t="s">
        <v>6</v>
      </c>
      <c r="H33" t="s">
        <v>78</v>
      </c>
      <c r="I33" t="str">
        <f t="shared" si="0"/>
        <v>PXCBC-F63023GAE</v>
      </c>
      <c r="J33" t="s">
        <v>79</v>
      </c>
      <c r="K33" t="s">
        <v>80</v>
      </c>
      <c r="L33" s="2">
        <v>41.5</v>
      </c>
      <c r="M33" s="7">
        <v>19</v>
      </c>
      <c r="N33" s="3" t="str">
        <f t="shared" si="1"/>
        <v>GAE</v>
      </c>
      <c r="O33" t="s">
        <v>81</v>
      </c>
      <c r="P33" s="4">
        <v>46079</v>
      </c>
      <c r="Q33" t="s">
        <v>11</v>
      </c>
      <c r="R33" t="s">
        <v>2</v>
      </c>
      <c r="S33" t="s">
        <v>12</v>
      </c>
      <c r="T33" s="4">
        <v>46079</v>
      </c>
      <c r="U33" t="s">
        <v>13</v>
      </c>
      <c r="V33" t="s">
        <v>2</v>
      </c>
      <c r="W33" t="s">
        <v>14</v>
      </c>
      <c r="X33" t="s">
        <v>15</v>
      </c>
      <c r="Y33" t="s">
        <v>16</v>
      </c>
      <c r="Z33" t="s">
        <v>68</v>
      </c>
      <c r="AA33" t="s">
        <v>68</v>
      </c>
      <c r="AB33" t="s">
        <v>18</v>
      </c>
      <c r="AC33" t="s">
        <v>19</v>
      </c>
      <c r="AD33" t="s">
        <v>34</v>
      </c>
      <c r="AE33" t="s">
        <v>12</v>
      </c>
      <c r="AF33" t="s">
        <v>21</v>
      </c>
      <c r="AG33" s="5">
        <v>41.5</v>
      </c>
      <c r="AH33" s="2">
        <v>788.5</v>
      </c>
      <c r="AI33" t="s">
        <v>22</v>
      </c>
      <c r="AJ33" s="4">
        <v>46079</v>
      </c>
      <c r="AK33" s="4">
        <v>46085</v>
      </c>
      <c r="AL33" s="4">
        <v>46079</v>
      </c>
      <c r="AM33" t="s">
        <v>2</v>
      </c>
      <c r="AN33" t="s">
        <v>2</v>
      </c>
      <c r="AO33" t="s">
        <v>23</v>
      </c>
    </row>
    <row r="34" spans="1:41" x14ac:dyDescent="0.2">
      <c r="A34" t="s">
        <v>0</v>
      </c>
      <c r="B34" t="s">
        <v>1</v>
      </c>
      <c r="C34" t="s">
        <v>2</v>
      </c>
      <c r="D34" t="s">
        <v>64</v>
      </c>
      <c r="E34" t="s">
        <v>65</v>
      </c>
      <c r="F34" t="s">
        <v>66</v>
      </c>
      <c r="G34" t="s">
        <v>6</v>
      </c>
      <c r="H34" t="s">
        <v>82</v>
      </c>
      <c r="I34" t="str">
        <f t="shared" si="0"/>
        <v>PXCBC-F67008LZZ</v>
      </c>
      <c r="J34" t="s">
        <v>61</v>
      </c>
      <c r="K34" t="s">
        <v>32</v>
      </c>
      <c r="L34" s="2">
        <v>67.8</v>
      </c>
      <c r="M34" s="7">
        <v>26</v>
      </c>
      <c r="N34" s="3" t="str">
        <f t="shared" si="1"/>
        <v>LZZ</v>
      </c>
      <c r="O34" t="s">
        <v>83</v>
      </c>
      <c r="P34" s="4">
        <v>46079</v>
      </c>
      <c r="Q34" t="s">
        <v>11</v>
      </c>
      <c r="R34" t="s">
        <v>2</v>
      </c>
      <c r="S34" t="s">
        <v>12</v>
      </c>
      <c r="T34" s="4">
        <v>46079</v>
      </c>
      <c r="U34" t="s">
        <v>13</v>
      </c>
      <c r="V34" t="s">
        <v>2</v>
      </c>
      <c r="W34" t="s">
        <v>14</v>
      </c>
      <c r="X34" t="s">
        <v>15</v>
      </c>
      <c r="Y34" t="s">
        <v>16</v>
      </c>
      <c r="Z34" t="s">
        <v>68</v>
      </c>
      <c r="AA34" t="s">
        <v>68</v>
      </c>
      <c r="AB34" t="s">
        <v>18</v>
      </c>
      <c r="AC34" t="s">
        <v>19</v>
      </c>
      <c r="AD34" t="s">
        <v>34</v>
      </c>
      <c r="AE34" t="s">
        <v>12</v>
      </c>
      <c r="AF34" t="s">
        <v>21</v>
      </c>
      <c r="AG34" s="5">
        <v>67.8</v>
      </c>
      <c r="AH34" s="2">
        <v>1762.8</v>
      </c>
      <c r="AI34" t="s">
        <v>22</v>
      </c>
      <c r="AJ34" s="4">
        <v>46079</v>
      </c>
      <c r="AK34" s="4">
        <v>46085</v>
      </c>
      <c r="AL34" s="4">
        <v>46079</v>
      </c>
      <c r="AM34" t="s">
        <v>2</v>
      </c>
      <c r="AN34" t="s">
        <v>2</v>
      </c>
      <c r="AO34" t="s">
        <v>23</v>
      </c>
    </row>
    <row r="35" spans="1:41" x14ac:dyDescent="0.2">
      <c r="A35" t="s">
        <v>0</v>
      </c>
      <c r="B35" t="s">
        <v>1</v>
      </c>
      <c r="C35" t="s">
        <v>2</v>
      </c>
      <c r="D35" t="s">
        <v>64</v>
      </c>
      <c r="E35" t="s">
        <v>65</v>
      </c>
      <c r="F35" t="s">
        <v>66</v>
      </c>
      <c r="G35" t="s">
        <v>6</v>
      </c>
      <c r="H35" t="s">
        <v>82</v>
      </c>
      <c r="I35" t="str">
        <f t="shared" si="0"/>
        <v>PXCBC-F67008LAW</v>
      </c>
      <c r="J35" t="s">
        <v>61</v>
      </c>
      <c r="K35" t="s">
        <v>32</v>
      </c>
      <c r="L35" s="2">
        <v>67.8</v>
      </c>
      <c r="M35" s="7">
        <v>16</v>
      </c>
      <c r="N35" s="3" t="str">
        <f t="shared" si="1"/>
        <v>LAW</v>
      </c>
      <c r="O35" t="s">
        <v>33</v>
      </c>
      <c r="P35" s="4">
        <v>46079</v>
      </c>
      <c r="Q35" t="s">
        <v>11</v>
      </c>
      <c r="R35" t="s">
        <v>2</v>
      </c>
      <c r="S35" t="s">
        <v>12</v>
      </c>
      <c r="T35" s="4">
        <v>46079</v>
      </c>
      <c r="U35" t="s">
        <v>13</v>
      </c>
      <c r="V35" t="s">
        <v>2</v>
      </c>
      <c r="W35" t="s">
        <v>14</v>
      </c>
      <c r="X35" t="s">
        <v>15</v>
      </c>
      <c r="Y35" t="s">
        <v>16</v>
      </c>
      <c r="Z35" t="s">
        <v>68</v>
      </c>
      <c r="AA35" t="s">
        <v>68</v>
      </c>
      <c r="AB35" t="s">
        <v>18</v>
      </c>
      <c r="AC35" t="s">
        <v>19</v>
      </c>
      <c r="AD35" t="s">
        <v>34</v>
      </c>
      <c r="AE35" t="s">
        <v>26</v>
      </c>
      <c r="AF35" t="s">
        <v>21</v>
      </c>
      <c r="AG35" s="5">
        <v>67.8</v>
      </c>
      <c r="AH35" s="2">
        <v>1084.8</v>
      </c>
      <c r="AI35" t="s">
        <v>22</v>
      </c>
      <c r="AJ35" s="4">
        <v>46079</v>
      </c>
      <c r="AK35" s="4">
        <v>46085</v>
      </c>
      <c r="AL35" s="4">
        <v>46079</v>
      </c>
      <c r="AM35" t="s">
        <v>2</v>
      </c>
      <c r="AN35" t="s">
        <v>2</v>
      </c>
      <c r="AO35" t="s">
        <v>23</v>
      </c>
    </row>
    <row r="36" spans="1:41" x14ac:dyDescent="0.2">
      <c r="A36" t="s">
        <v>0</v>
      </c>
      <c r="B36" t="s">
        <v>1</v>
      </c>
      <c r="C36" t="s">
        <v>2</v>
      </c>
      <c r="D36" t="s">
        <v>64</v>
      </c>
      <c r="E36" t="s">
        <v>65</v>
      </c>
      <c r="F36" t="s">
        <v>66</v>
      </c>
      <c r="G36" t="s">
        <v>6</v>
      </c>
      <c r="H36" t="s">
        <v>82</v>
      </c>
      <c r="I36" t="str">
        <f t="shared" si="0"/>
        <v>PXCBC-F63023LAW</v>
      </c>
      <c r="J36" t="s">
        <v>79</v>
      </c>
      <c r="K36" t="s">
        <v>80</v>
      </c>
      <c r="L36" s="2">
        <v>41.5</v>
      </c>
      <c r="M36" s="7">
        <v>9</v>
      </c>
      <c r="N36" s="3" t="str">
        <f t="shared" si="1"/>
        <v>LAW</v>
      </c>
      <c r="O36" t="s">
        <v>33</v>
      </c>
      <c r="P36" s="4">
        <v>46202</v>
      </c>
      <c r="Q36" t="s">
        <v>11</v>
      </c>
      <c r="R36" t="s">
        <v>2</v>
      </c>
      <c r="S36" t="s">
        <v>12</v>
      </c>
      <c r="T36" s="4">
        <v>46079</v>
      </c>
      <c r="U36" t="s">
        <v>13</v>
      </c>
      <c r="V36" t="s">
        <v>2</v>
      </c>
      <c r="W36" t="s">
        <v>14</v>
      </c>
      <c r="X36" t="s">
        <v>15</v>
      </c>
      <c r="Y36" t="s">
        <v>16</v>
      </c>
      <c r="Z36" t="s">
        <v>68</v>
      </c>
      <c r="AA36" t="s">
        <v>68</v>
      </c>
      <c r="AB36" t="s">
        <v>18</v>
      </c>
      <c r="AC36" t="s">
        <v>84</v>
      </c>
      <c r="AD36" t="s">
        <v>34</v>
      </c>
      <c r="AE36" t="s">
        <v>12</v>
      </c>
      <c r="AF36" t="s">
        <v>21</v>
      </c>
      <c r="AG36" s="5">
        <v>41.5</v>
      </c>
      <c r="AH36" s="2">
        <v>373.5</v>
      </c>
      <c r="AI36" t="s">
        <v>22</v>
      </c>
      <c r="AJ36" s="4">
        <v>46202</v>
      </c>
      <c r="AK36" s="4">
        <v>46206</v>
      </c>
      <c r="AL36" s="4">
        <v>46080</v>
      </c>
      <c r="AM36" t="s">
        <v>2</v>
      </c>
      <c r="AN36" t="s">
        <v>2</v>
      </c>
      <c r="AO36" t="s">
        <v>23</v>
      </c>
    </row>
    <row r="37" spans="1:41" x14ac:dyDescent="0.2">
      <c r="A37" t="s">
        <v>0</v>
      </c>
      <c r="B37" t="s">
        <v>1</v>
      </c>
      <c r="C37" t="s">
        <v>2</v>
      </c>
      <c r="D37" t="s">
        <v>64</v>
      </c>
      <c r="E37" t="s">
        <v>65</v>
      </c>
      <c r="F37" t="s">
        <v>66</v>
      </c>
      <c r="G37" t="s">
        <v>6</v>
      </c>
      <c r="H37" t="s">
        <v>82</v>
      </c>
      <c r="I37" t="str">
        <f t="shared" si="0"/>
        <v>PXCBC-F63024LZZ</v>
      </c>
      <c r="J37" t="s">
        <v>85</v>
      </c>
      <c r="K37" t="s">
        <v>86</v>
      </c>
      <c r="L37" s="2">
        <v>28.8</v>
      </c>
      <c r="M37" s="7">
        <v>16</v>
      </c>
      <c r="N37" s="3" t="str">
        <f t="shared" si="1"/>
        <v>LZZ</v>
      </c>
      <c r="O37" t="s">
        <v>83</v>
      </c>
      <c r="P37" s="4">
        <v>46202</v>
      </c>
      <c r="Q37" t="s">
        <v>11</v>
      </c>
      <c r="R37" t="s">
        <v>2</v>
      </c>
      <c r="S37" t="s">
        <v>12</v>
      </c>
      <c r="T37" s="4">
        <v>46079</v>
      </c>
      <c r="U37" t="s">
        <v>13</v>
      </c>
      <c r="V37" t="s">
        <v>2</v>
      </c>
      <c r="W37" t="s">
        <v>14</v>
      </c>
      <c r="X37" t="s">
        <v>15</v>
      </c>
      <c r="Y37" t="s">
        <v>16</v>
      </c>
      <c r="Z37" t="s">
        <v>68</v>
      </c>
      <c r="AA37" t="s">
        <v>68</v>
      </c>
      <c r="AB37" t="s">
        <v>18</v>
      </c>
      <c r="AC37" t="s">
        <v>87</v>
      </c>
      <c r="AD37" t="s">
        <v>34</v>
      </c>
      <c r="AE37" t="s">
        <v>12</v>
      </c>
      <c r="AF37" t="s">
        <v>21</v>
      </c>
      <c r="AG37" s="5">
        <v>28.8</v>
      </c>
      <c r="AH37" s="2">
        <v>460.8</v>
      </c>
      <c r="AI37" t="s">
        <v>22</v>
      </c>
      <c r="AJ37" s="4">
        <v>46202</v>
      </c>
      <c r="AK37" s="4">
        <v>46206</v>
      </c>
      <c r="AL37" s="4">
        <v>46080</v>
      </c>
      <c r="AM37" t="s">
        <v>2</v>
      </c>
      <c r="AN37" t="s">
        <v>2</v>
      </c>
      <c r="AO37" t="s">
        <v>23</v>
      </c>
    </row>
    <row r="38" spans="1:41" x14ac:dyDescent="0.2">
      <c r="A38" t="s">
        <v>0</v>
      </c>
      <c r="B38" t="s">
        <v>1</v>
      </c>
      <c r="C38" t="s">
        <v>2</v>
      </c>
      <c r="D38" t="s">
        <v>64</v>
      </c>
      <c r="E38" t="s">
        <v>65</v>
      </c>
      <c r="F38" t="s">
        <v>66</v>
      </c>
      <c r="G38" t="s">
        <v>6</v>
      </c>
      <c r="H38" t="s">
        <v>82</v>
      </c>
      <c r="I38" t="str">
        <f t="shared" si="0"/>
        <v>PXCBC-F67043KAN</v>
      </c>
      <c r="J38" t="s">
        <v>88</v>
      </c>
      <c r="K38" t="s">
        <v>37</v>
      </c>
      <c r="L38" s="2">
        <v>66.5</v>
      </c>
      <c r="M38" s="7">
        <v>13</v>
      </c>
      <c r="N38" s="3" t="str">
        <f t="shared" si="1"/>
        <v>KAN</v>
      </c>
      <c r="O38" t="s">
        <v>62</v>
      </c>
      <c r="P38" s="4">
        <v>46202</v>
      </c>
      <c r="Q38" t="s">
        <v>11</v>
      </c>
      <c r="R38" t="s">
        <v>2</v>
      </c>
      <c r="S38" t="s">
        <v>12</v>
      </c>
      <c r="T38" s="4">
        <v>46079</v>
      </c>
      <c r="U38" t="s">
        <v>13</v>
      </c>
      <c r="V38" t="s">
        <v>2</v>
      </c>
      <c r="W38" t="s">
        <v>14</v>
      </c>
      <c r="X38" t="s">
        <v>15</v>
      </c>
      <c r="Y38" t="s">
        <v>16</v>
      </c>
      <c r="Z38" t="s">
        <v>68</v>
      </c>
      <c r="AA38" t="s">
        <v>68</v>
      </c>
      <c r="AB38" t="s">
        <v>18</v>
      </c>
      <c r="AC38" t="s">
        <v>89</v>
      </c>
      <c r="AD38" t="s">
        <v>34</v>
      </c>
      <c r="AE38" t="s">
        <v>12</v>
      </c>
      <c r="AF38" t="s">
        <v>21</v>
      </c>
      <c r="AG38" s="5">
        <v>66.5</v>
      </c>
      <c r="AH38" s="2">
        <v>864.5</v>
      </c>
      <c r="AI38" t="s">
        <v>22</v>
      </c>
      <c r="AJ38" s="4">
        <v>46202</v>
      </c>
      <c r="AK38" s="4">
        <v>46206</v>
      </c>
      <c r="AL38" s="4">
        <v>46079</v>
      </c>
      <c r="AM38" t="s">
        <v>2</v>
      </c>
      <c r="AN38" t="s">
        <v>2</v>
      </c>
      <c r="AO38" t="s">
        <v>23</v>
      </c>
    </row>
    <row r="39" spans="1:41" x14ac:dyDescent="0.2">
      <c r="A39" t="s">
        <v>0</v>
      </c>
      <c r="B39" t="s">
        <v>1</v>
      </c>
      <c r="C39" t="s">
        <v>2</v>
      </c>
      <c r="D39" t="s">
        <v>64</v>
      </c>
      <c r="E39" t="s">
        <v>65</v>
      </c>
      <c r="F39" t="s">
        <v>66</v>
      </c>
      <c r="G39" t="s">
        <v>6</v>
      </c>
      <c r="H39" t="s">
        <v>90</v>
      </c>
      <c r="I39" t="str">
        <f t="shared" si="0"/>
        <v>PXCBC-F67043GAE</v>
      </c>
      <c r="J39" t="s">
        <v>88</v>
      </c>
      <c r="K39" t="s">
        <v>37</v>
      </c>
      <c r="L39" s="2">
        <v>66.5</v>
      </c>
      <c r="M39" s="7">
        <v>30</v>
      </c>
      <c r="N39" s="3" t="str">
        <f t="shared" si="1"/>
        <v>GAE</v>
      </c>
      <c r="O39" t="s">
        <v>81</v>
      </c>
      <c r="P39" s="4">
        <v>46079</v>
      </c>
      <c r="Q39" t="s">
        <v>11</v>
      </c>
      <c r="R39" t="s">
        <v>2</v>
      </c>
      <c r="S39" t="s">
        <v>12</v>
      </c>
      <c r="T39" s="4">
        <v>46079</v>
      </c>
      <c r="U39" t="s">
        <v>13</v>
      </c>
      <c r="V39" t="s">
        <v>2</v>
      </c>
      <c r="W39" t="s">
        <v>14</v>
      </c>
      <c r="X39" t="s">
        <v>15</v>
      </c>
      <c r="Y39" t="s">
        <v>16</v>
      </c>
      <c r="Z39" t="s">
        <v>68</v>
      </c>
      <c r="AA39" t="s">
        <v>68</v>
      </c>
      <c r="AB39" t="s">
        <v>18</v>
      </c>
      <c r="AC39" t="s">
        <v>19</v>
      </c>
      <c r="AD39" t="s">
        <v>34</v>
      </c>
      <c r="AE39" t="s">
        <v>12</v>
      </c>
      <c r="AF39" t="s">
        <v>21</v>
      </c>
      <c r="AG39" s="5">
        <v>66.5</v>
      </c>
      <c r="AH39" s="2">
        <v>1995</v>
      </c>
      <c r="AI39" t="s">
        <v>22</v>
      </c>
      <c r="AJ39" s="4">
        <v>46079</v>
      </c>
      <c r="AK39" s="4">
        <v>46085</v>
      </c>
      <c r="AL39" s="4">
        <v>46079</v>
      </c>
      <c r="AM39" t="s">
        <v>2</v>
      </c>
      <c r="AN39" t="s">
        <v>2</v>
      </c>
      <c r="AO39" t="s">
        <v>23</v>
      </c>
    </row>
    <row r="40" spans="1:41" x14ac:dyDescent="0.2">
      <c r="A40" t="s">
        <v>0</v>
      </c>
      <c r="B40" t="s">
        <v>1</v>
      </c>
      <c r="C40" t="s">
        <v>2</v>
      </c>
      <c r="D40" t="s">
        <v>64</v>
      </c>
      <c r="E40" t="s">
        <v>65</v>
      </c>
      <c r="F40" t="s">
        <v>66</v>
      </c>
      <c r="G40" t="s">
        <v>6</v>
      </c>
      <c r="H40" t="s">
        <v>91</v>
      </c>
      <c r="I40" t="str">
        <f t="shared" si="0"/>
        <v>PXCBS-F67080GAU</v>
      </c>
      <c r="J40" t="s">
        <v>92</v>
      </c>
      <c r="K40" t="s">
        <v>93</v>
      </c>
      <c r="L40" s="2">
        <v>79</v>
      </c>
      <c r="M40" s="7">
        <v>16</v>
      </c>
      <c r="N40" s="3" t="str">
        <f t="shared" si="1"/>
        <v>GAU</v>
      </c>
      <c r="O40" t="s">
        <v>94</v>
      </c>
      <c r="P40" s="4">
        <v>46079</v>
      </c>
      <c r="Q40" t="s">
        <v>11</v>
      </c>
      <c r="R40" t="s">
        <v>2</v>
      </c>
      <c r="S40" t="s">
        <v>12</v>
      </c>
      <c r="T40" s="4">
        <v>46079</v>
      </c>
      <c r="U40" t="s">
        <v>13</v>
      </c>
      <c r="V40" t="s">
        <v>2</v>
      </c>
      <c r="W40" t="s">
        <v>14</v>
      </c>
      <c r="X40" t="s">
        <v>15</v>
      </c>
      <c r="Y40" t="s">
        <v>16</v>
      </c>
      <c r="Z40" t="s">
        <v>68</v>
      </c>
      <c r="AA40" t="s">
        <v>68</v>
      </c>
      <c r="AB40" t="s">
        <v>18</v>
      </c>
      <c r="AC40" t="s">
        <v>19</v>
      </c>
      <c r="AD40" t="s">
        <v>34</v>
      </c>
      <c r="AE40" t="s">
        <v>12</v>
      </c>
      <c r="AF40" t="s">
        <v>21</v>
      </c>
      <c r="AG40" s="5">
        <v>79</v>
      </c>
      <c r="AH40" s="2">
        <v>1264</v>
      </c>
      <c r="AI40" t="s">
        <v>22</v>
      </c>
      <c r="AJ40" s="4">
        <v>46079</v>
      </c>
      <c r="AK40" s="4">
        <v>46085</v>
      </c>
      <c r="AL40" s="4">
        <v>46079</v>
      </c>
      <c r="AM40" t="s">
        <v>2</v>
      </c>
      <c r="AN40" t="s">
        <v>2</v>
      </c>
      <c r="AO40" t="s">
        <v>23</v>
      </c>
    </row>
    <row r="41" spans="1:41" x14ac:dyDescent="0.2">
      <c r="A41" t="s">
        <v>0</v>
      </c>
      <c r="B41" t="s">
        <v>1</v>
      </c>
      <c r="C41" t="s">
        <v>2</v>
      </c>
      <c r="D41" t="s">
        <v>64</v>
      </c>
      <c r="E41" t="s">
        <v>65</v>
      </c>
      <c r="F41" t="s">
        <v>66</v>
      </c>
      <c r="G41" t="s">
        <v>6</v>
      </c>
      <c r="H41" t="s">
        <v>95</v>
      </c>
      <c r="I41" t="str">
        <f t="shared" si="0"/>
        <v>PXCBT-F65101KBE</v>
      </c>
      <c r="J41" t="s">
        <v>53</v>
      </c>
      <c r="K41" t="s">
        <v>44</v>
      </c>
      <c r="L41" s="2">
        <v>22.3</v>
      </c>
      <c r="M41" s="7">
        <v>10</v>
      </c>
      <c r="N41" s="3" t="str">
        <f t="shared" si="1"/>
        <v>KBE</v>
      </c>
      <c r="O41" t="s">
        <v>54</v>
      </c>
      <c r="P41" s="4">
        <v>46079</v>
      </c>
      <c r="Q41" t="s">
        <v>11</v>
      </c>
      <c r="R41" t="s">
        <v>2</v>
      </c>
      <c r="S41" t="s">
        <v>12</v>
      </c>
      <c r="T41" s="4">
        <v>46079</v>
      </c>
      <c r="U41" t="s">
        <v>13</v>
      </c>
      <c r="V41" t="s">
        <v>2</v>
      </c>
      <c r="W41" t="s">
        <v>14</v>
      </c>
      <c r="X41" t="s">
        <v>15</v>
      </c>
      <c r="Y41" t="s">
        <v>16</v>
      </c>
      <c r="Z41" t="s">
        <v>68</v>
      </c>
      <c r="AA41" t="s">
        <v>68</v>
      </c>
      <c r="AB41" t="s">
        <v>18</v>
      </c>
      <c r="AC41" t="s">
        <v>19</v>
      </c>
      <c r="AD41" t="s">
        <v>25</v>
      </c>
      <c r="AE41" t="s">
        <v>45</v>
      </c>
      <c r="AF41" t="s">
        <v>21</v>
      </c>
      <c r="AG41" s="5">
        <v>22.3</v>
      </c>
      <c r="AH41" s="2">
        <v>223</v>
      </c>
      <c r="AI41" t="s">
        <v>22</v>
      </c>
      <c r="AJ41" s="4">
        <v>46079</v>
      </c>
      <c r="AK41" s="4">
        <v>46085</v>
      </c>
      <c r="AL41" s="4">
        <v>46079</v>
      </c>
      <c r="AM41" t="s">
        <v>2</v>
      </c>
      <c r="AN41" t="s">
        <v>2</v>
      </c>
      <c r="AO41" t="s">
        <v>23</v>
      </c>
    </row>
    <row r="42" spans="1:41" x14ac:dyDescent="0.2">
      <c r="A42" t="s">
        <v>0</v>
      </c>
      <c r="B42" t="s">
        <v>1</v>
      </c>
      <c r="C42" t="s">
        <v>2</v>
      </c>
      <c r="D42" t="s">
        <v>64</v>
      </c>
      <c r="E42" t="s">
        <v>65</v>
      </c>
      <c r="F42" t="s">
        <v>66</v>
      </c>
      <c r="G42" t="s">
        <v>6</v>
      </c>
      <c r="H42" t="s">
        <v>95</v>
      </c>
      <c r="I42" t="str">
        <f t="shared" si="0"/>
        <v>PXCBT-F65101KBE</v>
      </c>
      <c r="J42" t="s">
        <v>53</v>
      </c>
      <c r="K42" t="s">
        <v>44</v>
      </c>
      <c r="L42" s="2">
        <v>22.3</v>
      </c>
      <c r="M42" s="7">
        <v>10</v>
      </c>
      <c r="N42" s="3" t="str">
        <f t="shared" si="1"/>
        <v>KBE</v>
      </c>
      <c r="O42" t="s">
        <v>55</v>
      </c>
      <c r="P42" s="4">
        <v>46079</v>
      </c>
      <c r="Q42" t="s">
        <v>11</v>
      </c>
      <c r="R42" t="s">
        <v>2</v>
      </c>
      <c r="S42" t="s">
        <v>12</v>
      </c>
      <c r="T42" s="4">
        <v>46079</v>
      </c>
      <c r="U42" t="s">
        <v>13</v>
      </c>
      <c r="V42" t="s">
        <v>2</v>
      </c>
      <c r="W42" t="s">
        <v>14</v>
      </c>
      <c r="X42" t="s">
        <v>15</v>
      </c>
      <c r="Y42" t="s">
        <v>16</v>
      </c>
      <c r="Z42" t="s">
        <v>68</v>
      </c>
      <c r="AA42" t="s">
        <v>68</v>
      </c>
      <c r="AB42" t="s">
        <v>18</v>
      </c>
      <c r="AC42" t="s">
        <v>19</v>
      </c>
      <c r="AD42" t="s">
        <v>47</v>
      </c>
      <c r="AE42" t="s">
        <v>29</v>
      </c>
      <c r="AF42" t="s">
        <v>21</v>
      </c>
      <c r="AG42" s="5">
        <v>22.3</v>
      </c>
      <c r="AH42" s="2">
        <v>223</v>
      </c>
      <c r="AI42" t="s">
        <v>22</v>
      </c>
      <c r="AJ42" s="4">
        <v>46079</v>
      </c>
      <c r="AK42" s="4">
        <v>46085</v>
      </c>
      <c r="AL42" s="4">
        <v>46079</v>
      </c>
      <c r="AM42" t="s">
        <v>2</v>
      </c>
      <c r="AN42" t="s">
        <v>2</v>
      </c>
      <c r="AO42" t="s">
        <v>23</v>
      </c>
    </row>
    <row r="43" spans="1:41" x14ac:dyDescent="0.2">
      <c r="A43" t="s">
        <v>0</v>
      </c>
      <c r="B43" t="s">
        <v>1</v>
      </c>
      <c r="C43" t="s">
        <v>2</v>
      </c>
      <c r="D43" t="s">
        <v>64</v>
      </c>
      <c r="E43" t="s">
        <v>65</v>
      </c>
      <c r="F43" t="s">
        <v>66</v>
      </c>
      <c r="G43" t="s">
        <v>6</v>
      </c>
      <c r="H43" t="s">
        <v>95</v>
      </c>
      <c r="I43" t="str">
        <f t="shared" si="0"/>
        <v>PXCBT-F65101KBE</v>
      </c>
      <c r="J43" t="s">
        <v>53</v>
      </c>
      <c r="K43" t="s">
        <v>44</v>
      </c>
      <c r="L43" s="2">
        <v>22.3</v>
      </c>
      <c r="M43" s="7">
        <v>10</v>
      </c>
      <c r="N43" s="3" t="str">
        <f t="shared" si="1"/>
        <v>KBE</v>
      </c>
      <c r="O43" t="s">
        <v>56</v>
      </c>
      <c r="P43" s="4">
        <v>46079</v>
      </c>
      <c r="Q43" t="s">
        <v>11</v>
      </c>
      <c r="R43" t="s">
        <v>2</v>
      </c>
      <c r="S43" t="s">
        <v>12</v>
      </c>
      <c r="T43" s="4">
        <v>46079</v>
      </c>
      <c r="U43" t="s">
        <v>13</v>
      </c>
      <c r="V43" t="s">
        <v>2</v>
      </c>
      <c r="W43" t="s">
        <v>14</v>
      </c>
      <c r="X43" t="s">
        <v>15</v>
      </c>
      <c r="Y43" t="s">
        <v>16</v>
      </c>
      <c r="Z43" t="s">
        <v>68</v>
      </c>
      <c r="AA43" t="s">
        <v>68</v>
      </c>
      <c r="AB43" t="s">
        <v>18</v>
      </c>
      <c r="AC43" t="s">
        <v>19</v>
      </c>
      <c r="AD43" t="s">
        <v>49</v>
      </c>
      <c r="AE43" t="s">
        <v>26</v>
      </c>
      <c r="AF43" t="s">
        <v>21</v>
      </c>
      <c r="AG43" s="5">
        <v>22.3</v>
      </c>
      <c r="AH43" s="2">
        <v>223</v>
      </c>
      <c r="AI43" t="s">
        <v>22</v>
      </c>
      <c r="AJ43" s="4">
        <v>46079</v>
      </c>
      <c r="AK43" s="4">
        <v>46085</v>
      </c>
      <c r="AL43" s="4">
        <v>46079</v>
      </c>
      <c r="AM43" t="s">
        <v>2</v>
      </c>
      <c r="AN43" t="s">
        <v>2</v>
      </c>
      <c r="AO43" t="s">
        <v>23</v>
      </c>
    </row>
    <row r="44" spans="1:41" x14ac:dyDescent="0.2">
      <c r="A44" t="s">
        <v>0</v>
      </c>
      <c r="B44" t="s">
        <v>1</v>
      </c>
      <c r="C44" t="s">
        <v>2</v>
      </c>
      <c r="D44" t="s">
        <v>64</v>
      </c>
      <c r="E44" t="s">
        <v>65</v>
      </c>
      <c r="F44" t="s">
        <v>66</v>
      </c>
      <c r="G44" t="s">
        <v>6</v>
      </c>
      <c r="H44" t="s">
        <v>95</v>
      </c>
      <c r="I44" t="str">
        <f t="shared" si="0"/>
        <v>PXCBT-F65101KBE</v>
      </c>
      <c r="J44" t="s">
        <v>53</v>
      </c>
      <c r="K44" t="s">
        <v>44</v>
      </c>
      <c r="L44" s="2">
        <v>22.3</v>
      </c>
      <c r="M44" s="7">
        <v>10</v>
      </c>
      <c r="N44" s="3" t="str">
        <f t="shared" si="1"/>
        <v>KBE</v>
      </c>
      <c r="O44" t="s">
        <v>57</v>
      </c>
      <c r="P44" s="4">
        <v>46079</v>
      </c>
      <c r="Q44" t="s">
        <v>11</v>
      </c>
      <c r="R44" t="s">
        <v>2</v>
      </c>
      <c r="S44" t="s">
        <v>12</v>
      </c>
      <c r="T44" s="4">
        <v>46079</v>
      </c>
      <c r="U44" t="s">
        <v>13</v>
      </c>
      <c r="V44" t="s">
        <v>2</v>
      </c>
      <c r="W44" t="s">
        <v>14</v>
      </c>
      <c r="X44" t="s">
        <v>15</v>
      </c>
      <c r="Y44" t="s">
        <v>16</v>
      </c>
      <c r="Z44" t="s">
        <v>68</v>
      </c>
      <c r="AA44" t="s">
        <v>68</v>
      </c>
      <c r="AB44" t="s">
        <v>18</v>
      </c>
      <c r="AC44" t="s">
        <v>19</v>
      </c>
      <c r="AD44" t="s">
        <v>51</v>
      </c>
      <c r="AE44" t="s">
        <v>12</v>
      </c>
      <c r="AF44" t="s">
        <v>21</v>
      </c>
      <c r="AG44" s="5">
        <v>22.3</v>
      </c>
      <c r="AH44" s="2">
        <v>223</v>
      </c>
      <c r="AI44" t="s">
        <v>22</v>
      </c>
      <c r="AJ44" s="4">
        <v>46079</v>
      </c>
      <c r="AK44" s="4">
        <v>46085</v>
      </c>
      <c r="AL44" s="4">
        <v>46079</v>
      </c>
      <c r="AM44" t="s">
        <v>2</v>
      </c>
      <c r="AN44" t="s">
        <v>2</v>
      </c>
      <c r="AO44" t="s">
        <v>23</v>
      </c>
    </row>
    <row r="45" spans="1:41" x14ac:dyDescent="0.2">
      <c r="A45" t="s">
        <v>0</v>
      </c>
      <c r="B45" t="s">
        <v>1</v>
      </c>
      <c r="C45" t="s">
        <v>2</v>
      </c>
      <c r="D45" t="s">
        <v>64</v>
      </c>
      <c r="E45" t="s">
        <v>65</v>
      </c>
      <c r="F45" t="s">
        <v>96</v>
      </c>
      <c r="G45" t="s">
        <v>6</v>
      </c>
      <c r="H45" t="s">
        <v>97</v>
      </c>
      <c r="I45" t="str">
        <f t="shared" si="0"/>
        <v>PXCBC-F63023LZZ</v>
      </c>
      <c r="J45" t="s">
        <v>79</v>
      </c>
      <c r="K45" t="s">
        <v>80</v>
      </c>
      <c r="L45" s="2">
        <v>41.5</v>
      </c>
      <c r="M45" s="7">
        <v>1</v>
      </c>
      <c r="N45" s="3" t="str">
        <f t="shared" si="1"/>
        <v>LZZ</v>
      </c>
      <c r="O45" t="s">
        <v>83</v>
      </c>
      <c r="P45" s="4">
        <v>46079</v>
      </c>
      <c r="Q45" t="s">
        <v>11</v>
      </c>
      <c r="R45" t="s">
        <v>2</v>
      </c>
      <c r="S45" t="s">
        <v>12</v>
      </c>
      <c r="T45" s="4">
        <v>46079</v>
      </c>
      <c r="U45" t="s">
        <v>13</v>
      </c>
      <c r="V45" t="s">
        <v>2</v>
      </c>
      <c r="W45" t="s">
        <v>14</v>
      </c>
      <c r="X45" t="s">
        <v>15</v>
      </c>
      <c r="Y45" t="s">
        <v>16</v>
      </c>
      <c r="Z45" t="s">
        <v>68</v>
      </c>
      <c r="AA45" t="s">
        <v>68</v>
      </c>
      <c r="AB45" t="s">
        <v>18</v>
      </c>
      <c r="AC45" t="s">
        <v>19</v>
      </c>
      <c r="AD45" t="s">
        <v>34</v>
      </c>
      <c r="AE45" t="s">
        <v>12</v>
      </c>
      <c r="AF45" t="s">
        <v>21</v>
      </c>
      <c r="AG45" s="5">
        <v>41.5</v>
      </c>
      <c r="AH45" s="2">
        <v>41.5</v>
      </c>
      <c r="AI45" t="s">
        <v>22</v>
      </c>
      <c r="AJ45" s="4">
        <v>46079</v>
      </c>
      <c r="AK45" s="4">
        <v>46085</v>
      </c>
      <c r="AL45" s="4">
        <v>46079</v>
      </c>
      <c r="AM45" t="s">
        <v>2</v>
      </c>
      <c r="AN45" t="s">
        <v>2</v>
      </c>
      <c r="AO45" t="s">
        <v>23</v>
      </c>
    </row>
    <row r="46" spans="1:41" x14ac:dyDescent="0.2">
      <c r="A46" t="s">
        <v>0</v>
      </c>
      <c r="B46" t="s">
        <v>1</v>
      </c>
      <c r="C46" t="s">
        <v>2</v>
      </c>
      <c r="D46" t="s">
        <v>64</v>
      </c>
      <c r="E46" t="s">
        <v>65</v>
      </c>
      <c r="F46" t="s">
        <v>96</v>
      </c>
      <c r="G46" t="s">
        <v>6</v>
      </c>
      <c r="H46" t="s">
        <v>98</v>
      </c>
      <c r="I46" t="str">
        <f t="shared" si="0"/>
        <v>PXCBC-F63024KAN</v>
      </c>
      <c r="J46" t="s">
        <v>85</v>
      </c>
      <c r="K46" t="s">
        <v>86</v>
      </c>
      <c r="L46" s="2">
        <v>28.8</v>
      </c>
      <c r="M46" s="7">
        <v>3</v>
      </c>
      <c r="N46" s="3" t="str">
        <f t="shared" si="1"/>
        <v>KAN</v>
      </c>
      <c r="O46" t="s">
        <v>62</v>
      </c>
      <c r="P46" s="4">
        <v>46079</v>
      </c>
      <c r="Q46" t="s">
        <v>11</v>
      </c>
      <c r="R46" t="s">
        <v>2</v>
      </c>
      <c r="S46" t="s">
        <v>12</v>
      </c>
      <c r="T46" s="4">
        <v>46079</v>
      </c>
      <c r="U46" t="s">
        <v>13</v>
      </c>
      <c r="V46" t="s">
        <v>2</v>
      </c>
      <c r="W46" t="s">
        <v>14</v>
      </c>
      <c r="X46" t="s">
        <v>15</v>
      </c>
      <c r="Y46" t="s">
        <v>16</v>
      </c>
      <c r="Z46" t="s">
        <v>68</v>
      </c>
      <c r="AA46" t="s">
        <v>68</v>
      </c>
      <c r="AB46" t="s">
        <v>18</v>
      </c>
      <c r="AC46" t="s">
        <v>19</v>
      </c>
      <c r="AD46" t="s">
        <v>34</v>
      </c>
      <c r="AE46" t="s">
        <v>12</v>
      </c>
      <c r="AF46" t="s">
        <v>21</v>
      </c>
      <c r="AG46" s="5">
        <v>28.8</v>
      </c>
      <c r="AH46" s="2">
        <v>86.4</v>
      </c>
      <c r="AI46" t="s">
        <v>22</v>
      </c>
      <c r="AJ46" s="4">
        <v>46079</v>
      </c>
      <c r="AK46" s="4">
        <v>46085</v>
      </c>
      <c r="AL46" s="4">
        <v>46079</v>
      </c>
      <c r="AM46" t="s">
        <v>2</v>
      </c>
      <c r="AN46" t="s">
        <v>2</v>
      </c>
      <c r="AO46" t="s">
        <v>23</v>
      </c>
    </row>
    <row r="47" spans="1:41" x14ac:dyDescent="0.2">
      <c r="A47" t="s">
        <v>0</v>
      </c>
      <c r="B47" t="s">
        <v>1</v>
      </c>
      <c r="C47" t="s">
        <v>2</v>
      </c>
      <c r="D47" t="s">
        <v>64</v>
      </c>
      <c r="E47" t="s">
        <v>65</v>
      </c>
      <c r="F47" t="s">
        <v>96</v>
      </c>
      <c r="G47" t="s">
        <v>6</v>
      </c>
      <c r="H47" t="s">
        <v>99</v>
      </c>
      <c r="I47" t="str">
        <f t="shared" si="0"/>
        <v>PXCBC-F67008LZZ</v>
      </c>
      <c r="J47" t="s">
        <v>61</v>
      </c>
      <c r="K47" t="s">
        <v>32</v>
      </c>
      <c r="L47" s="2">
        <v>67.8</v>
      </c>
      <c r="M47" s="7">
        <v>326</v>
      </c>
      <c r="N47" s="3" t="str">
        <f t="shared" si="1"/>
        <v>LZZ</v>
      </c>
      <c r="O47" t="s">
        <v>83</v>
      </c>
      <c r="P47" s="4">
        <v>46079</v>
      </c>
      <c r="Q47" t="s">
        <v>11</v>
      </c>
      <c r="R47" t="s">
        <v>2</v>
      </c>
      <c r="S47" t="s">
        <v>12</v>
      </c>
      <c r="T47" s="4">
        <v>46079</v>
      </c>
      <c r="U47" t="s">
        <v>13</v>
      </c>
      <c r="V47" t="s">
        <v>2</v>
      </c>
      <c r="W47" t="s">
        <v>14</v>
      </c>
      <c r="X47" t="s">
        <v>15</v>
      </c>
      <c r="Y47" t="s">
        <v>16</v>
      </c>
      <c r="Z47" t="s">
        <v>68</v>
      </c>
      <c r="AA47" t="s">
        <v>68</v>
      </c>
      <c r="AB47" t="s">
        <v>18</v>
      </c>
      <c r="AC47" t="s">
        <v>19</v>
      </c>
      <c r="AD47" t="s">
        <v>34</v>
      </c>
      <c r="AE47" t="s">
        <v>12</v>
      </c>
      <c r="AF47" t="s">
        <v>21</v>
      </c>
      <c r="AG47" s="5">
        <v>67.8</v>
      </c>
      <c r="AH47" s="2">
        <v>22102.799999999999</v>
      </c>
      <c r="AI47" t="s">
        <v>22</v>
      </c>
      <c r="AJ47" s="4">
        <v>46079</v>
      </c>
      <c r="AK47" s="4">
        <v>46085</v>
      </c>
      <c r="AL47" s="4">
        <v>46079</v>
      </c>
      <c r="AM47" t="s">
        <v>2</v>
      </c>
      <c r="AN47" t="s">
        <v>2</v>
      </c>
      <c r="AO47" t="s">
        <v>23</v>
      </c>
    </row>
    <row r="48" spans="1:41" x14ac:dyDescent="0.2">
      <c r="A48" t="s">
        <v>0</v>
      </c>
      <c r="B48" t="s">
        <v>1</v>
      </c>
      <c r="C48" t="s">
        <v>2</v>
      </c>
      <c r="D48" t="s">
        <v>64</v>
      </c>
      <c r="E48" t="s">
        <v>65</v>
      </c>
      <c r="F48" t="s">
        <v>96</v>
      </c>
      <c r="G48" t="s">
        <v>6</v>
      </c>
      <c r="H48" t="s">
        <v>100</v>
      </c>
      <c r="I48" t="str">
        <f t="shared" si="0"/>
        <v>PXCDS-F63024CAB</v>
      </c>
      <c r="J48" t="s">
        <v>101</v>
      </c>
      <c r="K48" t="s">
        <v>86</v>
      </c>
      <c r="L48" s="2">
        <v>1</v>
      </c>
      <c r="M48" s="7">
        <v>3</v>
      </c>
      <c r="N48" s="3" t="str">
        <f t="shared" si="1"/>
        <v>CAB</v>
      </c>
      <c r="O48" t="s">
        <v>40</v>
      </c>
      <c r="P48" s="4">
        <v>46079</v>
      </c>
      <c r="Q48" t="s">
        <v>11</v>
      </c>
      <c r="R48" t="s">
        <v>2</v>
      </c>
      <c r="S48" t="s">
        <v>12</v>
      </c>
      <c r="T48" s="4">
        <v>46079</v>
      </c>
      <c r="U48" t="s">
        <v>13</v>
      </c>
      <c r="V48" t="s">
        <v>2</v>
      </c>
      <c r="W48" t="s">
        <v>14</v>
      </c>
      <c r="X48" t="s">
        <v>15</v>
      </c>
      <c r="Y48" t="s">
        <v>16</v>
      </c>
      <c r="Z48" t="s">
        <v>68</v>
      </c>
      <c r="AA48" t="s">
        <v>68</v>
      </c>
      <c r="AB48" t="s">
        <v>18</v>
      </c>
      <c r="AC48" t="s">
        <v>19</v>
      </c>
      <c r="AD48" t="s">
        <v>34</v>
      </c>
      <c r="AE48" t="s">
        <v>12</v>
      </c>
      <c r="AF48" t="s">
        <v>21</v>
      </c>
      <c r="AG48" s="5">
        <v>1</v>
      </c>
      <c r="AH48" s="2">
        <v>3</v>
      </c>
      <c r="AI48" t="s">
        <v>22</v>
      </c>
      <c r="AJ48" s="4">
        <v>46079</v>
      </c>
      <c r="AK48" s="4">
        <v>46085</v>
      </c>
      <c r="AL48" s="4">
        <v>46079</v>
      </c>
      <c r="AM48" t="s">
        <v>2</v>
      </c>
      <c r="AN48" t="s">
        <v>2</v>
      </c>
      <c r="AO48" t="s">
        <v>23</v>
      </c>
    </row>
    <row r="49" spans="1:41" x14ac:dyDescent="0.2">
      <c r="A49" t="s">
        <v>0</v>
      </c>
      <c r="B49" t="s">
        <v>1</v>
      </c>
      <c r="C49" t="s">
        <v>2</v>
      </c>
      <c r="D49" t="s">
        <v>64</v>
      </c>
      <c r="E49" t="s">
        <v>65</v>
      </c>
      <c r="F49" t="s">
        <v>96</v>
      </c>
      <c r="G49" t="s">
        <v>6</v>
      </c>
      <c r="H49" t="s">
        <v>102</v>
      </c>
      <c r="I49" t="str">
        <f t="shared" si="0"/>
        <v>PXCDS-F67008LAW</v>
      </c>
      <c r="J49" t="s">
        <v>31</v>
      </c>
      <c r="K49" t="s">
        <v>32</v>
      </c>
      <c r="L49" s="2">
        <v>85</v>
      </c>
      <c r="M49" s="7">
        <v>1</v>
      </c>
      <c r="N49" s="3" t="str">
        <f t="shared" si="1"/>
        <v>LAW</v>
      </c>
      <c r="O49" t="s">
        <v>33</v>
      </c>
      <c r="P49" s="4">
        <v>46079</v>
      </c>
      <c r="Q49" t="s">
        <v>11</v>
      </c>
      <c r="R49" t="s">
        <v>2</v>
      </c>
      <c r="S49" t="s">
        <v>12</v>
      </c>
      <c r="T49" s="4">
        <v>46079</v>
      </c>
      <c r="U49" t="s">
        <v>13</v>
      </c>
      <c r="V49" t="s">
        <v>2</v>
      </c>
      <c r="W49" t="s">
        <v>14</v>
      </c>
      <c r="X49" t="s">
        <v>15</v>
      </c>
      <c r="Y49" t="s">
        <v>16</v>
      </c>
      <c r="Z49" t="s">
        <v>68</v>
      </c>
      <c r="AA49" t="s">
        <v>68</v>
      </c>
      <c r="AB49" t="s">
        <v>18</v>
      </c>
      <c r="AC49" t="s">
        <v>19</v>
      </c>
      <c r="AD49" t="s">
        <v>34</v>
      </c>
      <c r="AE49" t="s">
        <v>12</v>
      </c>
      <c r="AF49" t="s">
        <v>21</v>
      </c>
      <c r="AG49" s="5">
        <v>85</v>
      </c>
      <c r="AH49" s="2">
        <v>85</v>
      </c>
      <c r="AI49" t="s">
        <v>22</v>
      </c>
      <c r="AJ49" s="4">
        <v>46079</v>
      </c>
      <c r="AK49" s="4">
        <v>46085</v>
      </c>
      <c r="AL49" s="4">
        <v>46079</v>
      </c>
      <c r="AM49" t="s">
        <v>2</v>
      </c>
      <c r="AN49" t="s">
        <v>2</v>
      </c>
      <c r="AO49" t="s">
        <v>23</v>
      </c>
    </row>
    <row r="50" spans="1:41" x14ac:dyDescent="0.2">
      <c r="A50" t="s">
        <v>0</v>
      </c>
      <c r="B50" t="s">
        <v>1</v>
      </c>
      <c r="C50" t="s">
        <v>2</v>
      </c>
      <c r="D50" t="s">
        <v>103</v>
      </c>
      <c r="E50" t="s">
        <v>104</v>
      </c>
      <c r="F50" t="s">
        <v>105</v>
      </c>
      <c r="G50" t="s">
        <v>6</v>
      </c>
      <c r="H50" t="s">
        <v>106</v>
      </c>
      <c r="I50" t="str">
        <f t="shared" si="0"/>
        <v>PXCBC-F63023GAE</v>
      </c>
      <c r="J50" t="s">
        <v>79</v>
      </c>
      <c r="K50" t="s">
        <v>80</v>
      </c>
      <c r="L50" s="2">
        <v>41.5</v>
      </c>
      <c r="M50" s="7">
        <v>30</v>
      </c>
      <c r="N50" s="3" t="str">
        <f t="shared" si="1"/>
        <v>GAE</v>
      </c>
      <c r="O50" t="s">
        <v>81</v>
      </c>
      <c r="P50" s="4">
        <v>46079</v>
      </c>
      <c r="Q50" t="s">
        <v>11</v>
      </c>
      <c r="R50" t="s">
        <v>2</v>
      </c>
      <c r="S50" t="s">
        <v>12</v>
      </c>
      <c r="T50" s="4">
        <v>46079</v>
      </c>
      <c r="U50" t="s">
        <v>13</v>
      </c>
      <c r="V50" t="s">
        <v>2</v>
      </c>
      <c r="W50" t="s">
        <v>14</v>
      </c>
      <c r="X50" t="s">
        <v>15</v>
      </c>
      <c r="Y50" t="s">
        <v>16</v>
      </c>
      <c r="Z50" t="s">
        <v>68</v>
      </c>
      <c r="AA50" t="s">
        <v>68</v>
      </c>
      <c r="AB50" t="s">
        <v>18</v>
      </c>
      <c r="AC50" t="s">
        <v>19</v>
      </c>
      <c r="AD50" t="s">
        <v>34</v>
      </c>
      <c r="AE50" t="s">
        <v>12</v>
      </c>
      <c r="AF50" t="s">
        <v>21</v>
      </c>
      <c r="AG50" s="5">
        <v>41.5</v>
      </c>
      <c r="AH50" s="2">
        <v>1245</v>
      </c>
      <c r="AI50" t="s">
        <v>22</v>
      </c>
      <c r="AJ50" s="4">
        <v>46079</v>
      </c>
      <c r="AK50" s="4">
        <v>46085</v>
      </c>
      <c r="AL50" s="4">
        <v>46079</v>
      </c>
      <c r="AM50" t="s">
        <v>2</v>
      </c>
      <c r="AN50" t="s">
        <v>2</v>
      </c>
      <c r="AO50" t="s">
        <v>23</v>
      </c>
    </row>
    <row r="51" spans="1:41" x14ac:dyDescent="0.2">
      <c r="A51" t="s">
        <v>0</v>
      </c>
      <c r="B51" t="s">
        <v>1</v>
      </c>
      <c r="C51" t="s">
        <v>2</v>
      </c>
      <c r="D51" t="s">
        <v>103</v>
      </c>
      <c r="E51" t="s">
        <v>104</v>
      </c>
      <c r="F51" t="s">
        <v>105</v>
      </c>
      <c r="G51" t="s">
        <v>6</v>
      </c>
      <c r="H51" t="s">
        <v>107</v>
      </c>
      <c r="I51" t="str">
        <f t="shared" si="0"/>
        <v>PXCBC-F63024KAN</v>
      </c>
      <c r="J51" t="s">
        <v>85</v>
      </c>
      <c r="K51" t="s">
        <v>86</v>
      </c>
      <c r="L51" s="2">
        <v>28.8</v>
      </c>
      <c r="M51" s="7">
        <v>45</v>
      </c>
      <c r="N51" s="3" t="str">
        <f t="shared" si="1"/>
        <v>KAN</v>
      </c>
      <c r="O51" t="s">
        <v>62</v>
      </c>
      <c r="P51" s="4">
        <v>46079</v>
      </c>
      <c r="Q51" t="s">
        <v>11</v>
      </c>
      <c r="R51" t="s">
        <v>2</v>
      </c>
      <c r="S51" t="s">
        <v>12</v>
      </c>
      <c r="T51" s="4">
        <v>46079</v>
      </c>
      <c r="U51" t="s">
        <v>13</v>
      </c>
      <c r="V51" t="s">
        <v>2</v>
      </c>
      <c r="W51" t="s">
        <v>14</v>
      </c>
      <c r="X51" t="s">
        <v>15</v>
      </c>
      <c r="Y51" t="s">
        <v>16</v>
      </c>
      <c r="Z51" t="s">
        <v>68</v>
      </c>
      <c r="AA51" t="s">
        <v>68</v>
      </c>
      <c r="AB51" t="s">
        <v>18</v>
      </c>
      <c r="AC51" t="s">
        <v>19</v>
      </c>
      <c r="AD51" t="s">
        <v>34</v>
      </c>
      <c r="AE51" t="s">
        <v>12</v>
      </c>
      <c r="AF51" t="s">
        <v>21</v>
      </c>
      <c r="AG51" s="5">
        <v>28.8</v>
      </c>
      <c r="AH51" s="2">
        <v>1296</v>
      </c>
      <c r="AI51" t="s">
        <v>22</v>
      </c>
      <c r="AJ51" s="4">
        <v>46079</v>
      </c>
      <c r="AK51" s="4">
        <v>46085</v>
      </c>
      <c r="AL51" s="4">
        <v>46079</v>
      </c>
      <c r="AM51" t="s">
        <v>2</v>
      </c>
      <c r="AN51" t="s">
        <v>2</v>
      </c>
      <c r="AO51" t="s">
        <v>23</v>
      </c>
    </row>
    <row r="52" spans="1:41" x14ac:dyDescent="0.2">
      <c r="A52" t="s">
        <v>0</v>
      </c>
      <c r="B52" t="s">
        <v>1</v>
      </c>
      <c r="C52" t="s">
        <v>2</v>
      </c>
      <c r="D52" t="s">
        <v>103</v>
      </c>
      <c r="E52" t="s">
        <v>104</v>
      </c>
      <c r="F52" t="s">
        <v>105</v>
      </c>
      <c r="G52" t="s">
        <v>6</v>
      </c>
      <c r="H52" t="s">
        <v>108</v>
      </c>
      <c r="I52" t="str">
        <f t="shared" si="0"/>
        <v>PXCBC-F67008KAN</v>
      </c>
      <c r="J52" t="s">
        <v>61</v>
      </c>
      <c r="K52" t="s">
        <v>32</v>
      </c>
      <c r="L52" s="2">
        <v>67.8</v>
      </c>
      <c r="M52" s="7">
        <v>40</v>
      </c>
      <c r="N52" s="3" t="str">
        <f t="shared" si="1"/>
        <v>KAN</v>
      </c>
      <c r="O52" t="s">
        <v>62</v>
      </c>
      <c r="P52" s="4">
        <v>46079</v>
      </c>
      <c r="Q52" t="s">
        <v>11</v>
      </c>
      <c r="R52" t="s">
        <v>2</v>
      </c>
      <c r="S52" t="s">
        <v>12</v>
      </c>
      <c r="T52" s="4">
        <v>46079</v>
      </c>
      <c r="U52" t="s">
        <v>13</v>
      </c>
      <c r="V52" t="s">
        <v>2</v>
      </c>
      <c r="W52" t="s">
        <v>14</v>
      </c>
      <c r="X52" t="s">
        <v>15</v>
      </c>
      <c r="Y52" t="s">
        <v>16</v>
      </c>
      <c r="Z52" t="s">
        <v>68</v>
      </c>
      <c r="AA52" t="s">
        <v>68</v>
      </c>
      <c r="AB52" t="s">
        <v>18</v>
      </c>
      <c r="AC52" t="s">
        <v>19</v>
      </c>
      <c r="AD52" t="s">
        <v>34</v>
      </c>
      <c r="AE52" t="s">
        <v>12</v>
      </c>
      <c r="AF52" t="s">
        <v>21</v>
      </c>
      <c r="AG52" s="5">
        <v>67.8</v>
      </c>
      <c r="AH52" s="2">
        <v>2712</v>
      </c>
      <c r="AI52" t="s">
        <v>22</v>
      </c>
      <c r="AJ52" s="4">
        <v>46079</v>
      </c>
      <c r="AK52" s="4">
        <v>46085</v>
      </c>
      <c r="AL52" s="4">
        <v>46079</v>
      </c>
      <c r="AM52" t="s">
        <v>2</v>
      </c>
      <c r="AN52" t="s">
        <v>2</v>
      </c>
      <c r="AO52" t="s">
        <v>23</v>
      </c>
    </row>
    <row r="53" spans="1:41" x14ac:dyDescent="0.2">
      <c r="A53" t="s">
        <v>0</v>
      </c>
      <c r="B53" t="s">
        <v>1</v>
      </c>
      <c r="C53" t="s">
        <v>2</v>
      </c>
      <c r="D53" t="s">
        <v>103</v>
      </c>
      <c r="E53" t="s">
        <v>104</v>
      </c>
      <c r="F53" t="s">
        <v>105</v>
      </c>
      <c r="G53" t="s">
        <v>6</v>
      </c>
      <c r="H53" t="s">
        <v>109</v>
      </c>
      <c r="I53" t="str">
        <f t="shared" si="0"/>
        <v>PXCBC-F67043LZZ</v>
      </c>
      <c r="J53" t="s">
        <v>88</v>
      </c>
      <c r="K53" t="s">
        <v>37</v>
      </c>
      <c r="L53" s="2">
        <v>66.5</v>
      </c>
      <c r="M53" s="7">
        <v>1</v>
      </c>
      <c r="N53" s="3" t="str">
        <f t="shared" si="1"/>
        <v>LZZ</v>
      </c>
      <c r="O53" t="s">
        <v>83</v>
      </c>
      <c r="P53" s="4">
        <v>46079</v>
      </c>
      <c r="Q53" t="s">
        <v>11</v>
      </c>
      <c r="R53" t="s">
        <v>2</v>
      </c>
      <c r="S53" t="s">
        <v>12</v>
      </c>
      <c r="T53" s="4">
        <v>46079</v>
      </c>
      <c r="U53" t="s">
        <v>13</v>
      </c>
      <c r="V53" t="s">
        <v>2</v>
      </c>
      <c r="W53" t="s">
        <v>14</v>
      </c>
      <c r="X53" t="s">
        <v>15</v>
      </c>
      <c r="Y53" t="s">
        <v>16</v>
      </c>
      <c r="Z53" t="s">
        <v>68</v>
      </c>
      <c r="AA53" t="s">
        <v>68</v>
      </c>
      <c r="AB53" t="s">
        <v>18</v>
      </c>
      <c r="AC53" t="s">
        <v>19</v>
      </c>
      <c r="AD53" t="s">
        <v>34</v>
      </c>
      <c r="AE53" t="s">
        <v>26</v>
      </c>
      <c r="AF53" t="s">
        <v>21</v>
      </c>
      <c r="AG53" s="5">
        <v>66.5</v>
      </c>
      <c r="AH53" s="2">
        <v>66.5</v>
      </c>
      <c r="AI53" t="s">
        <v>22</v>
      </c>
      <c r="AJ53" s="4">
        <v>46079</v>
      </c>
      <c r="AK53" s="4">
        <v>46085</v>
      </c>
      <c r="AL53" s="4">
        <v>46079</v>
      </c>
      <c r="AM53" t="s">
        <v>2</v>
      </c>
      <c r="AN53" t="s">
        <v>2</v>
      </c>
      <c r="AO53" t="s">
        <v>23</v>
      </c>
    </row>
    <row r="54" spans="1:41" x14ac:dyDescent="0.2">
      <c r="A54" t="s">
        <v>0</v>
      </c>
      <c r="B54" t="s">
        <v>1</v>
      </c>
      <c r="C54" t="s">
        <v>2</v>
      </c>
      <c r="D54" t="s">
        <v>103</v>
      </c>
      <c r="E54" t="s">
        <v>104</v>
      </c>
      <c r="F54" t="s">
        <v>105</v>
      </c>
      <c r="G54" t="s">
        <v>6</v>
      </c>
      <c r="H54" t="s">
        <v>109</v>
      </c>
      <c r="I54" t="str">
        <f t="shared" si="0"/>
        <v>PXCBC-F67043GAE</v>
      </c>
      <c r="J54" t="s">
        <v>88</v>
      </c>
      <c r="K54" t="s">
        <v>37</v>
      </c>
      <c r="L54" s="2">
        <v>66.5</v>
      </c>
      <c r="M54" s="7">
        <v>20</v>
      </c>
      <c r="N54" s="3" t="str">
        <f t="shared" si="1"/>
        <v>GAE</v>
      </c>
      <c r="O54" t="s">
        <v>81</v>
      </c>
      <c r="P54" s="4">
        <v>46079</v>
      </c>
      <c r="Q54" t="s">
        <v>11</v>
      </c>
      <c r="R54" t="s">
        <v>2</v>
      </c>
      <c r="S54" t="s">
        <v>12</v>
      </c>
      <c r="T54" s="4">
        <v>46079</v>
      </c>
      <c r="U54" t="s">
        <v>13</v>
      </c>
      <c r="V54" t="s">
        <v>2</v>
      </c>
      <c r="W54" t="s">
        <v>14</v>
      </c>
      <c r="X54" t="s">
        <v>15</v>
      </c>
      <c r="Y54" t="s">
        <v>16</v>
      </c>
      <c r="Z54" t="s">
        <v>68</v>
      </c>
      <c r="AA54" t="s">
        <v>68</v>
      </c>
      <c r="AB54" t="s">
        <v>18</v>
      </c>
      <c r="AC54" t="s">
        <v>19</v>
      </c>
      <c r="AD54" t="s">
        <v>34</v>
      </c>
      <c r="AE54" t="s">
        <v>12</v>
      </c>
      <c r="AF54" t="s">
        <v>21</v>
      </c>
      <c r="AG54" s="5">
        <v>66.5</v>
      </c>
      <c r="AH54" s="2">
        <v>1330</v>
      </c>
      <c r="AI54" t="s">
        <v>22</v>
      </c>
      <c r="AJ54" s="4">
        <v>46079</v>
      </c>
      <c r="AK54" s="4">
        <v>46085</v>
      </c>
      <c r="AL54" s="4">
        <v>46079</v>
      </c>
      <c r="AM54" t="s">
        <v>2</v>
      </c>
      <c r="AN54" t="s">
        <v>2</v>
      </c>
      <c r="AO54" t="s">
        <v>23</v>
      </c>
    </row>
    <row r="55" spans="1:41" x14ac:dyDescent="0.2">
      <c r="A55" t="s">
        <v>0</v>
      </c>
      <c r="B55" t="s">
        <v>1</v>
      </c>
      <c r="C55" t="s">
        <v>2</v>
      </c>
      <c r="D55" t="s">
        <v>103</v>
      </c>
      <c r="E55" t="s">
        <v>104</v>
      </c>
      <c r="F55" t="s">
        <v>105</v>
      </c>
      <c r="G55" t="s">
        <v>6</v>
      </c>
      <c r="H55" t="s">
        <v>110</v>
      </c>
      <c r="I55" t="str">
        <f t="shared" si="0"/>
        <v>PXCBS-F67080LZZ</v>
      </c>
      <c r="J55" t="s">
        <v>92</v>
      </c>
      <c r="K55" t="s">
        <v>93</v>
      </c>
      <c r="L55" s="2">
        <v>79</v>
      </c>
      <c r="M55" s="7">
        <v>1</v>
      </c>
      <c r="N55" s="3" t="str">
        <f t="shared" si="1"/>
        <v>LZZ</v>
      </c>
      <c r="O55" t="s">
        <v>83</v>
      </c>
      <c r="P55" s="4">
        <v>46079</v>
      </c>
      <c r="Q55" t="s">
        <v>11</v>
      </c>
      <c r="R55" t="s">
        <v>2</v>
      </c>
      <c r="S55" t="s">
        <v>12</v>
      </c>
      <c r="T55" s="4">
        <v>46079</v>
      </c>
      <c r="U55" t="s">
        <v>13</v>
      </c>
      <c r="V55" t="s">
        <v>2</v>
      </c>
      <c r="W55" t="s">
        <v>14</v>
      </c>
      <c r="X55" t="s">
        <v>15</v>
      </c>
      <c r="Y55" t="s">
        <v>16</v>
      </c>
      <c r="Z55" t="s">
        <v>68</v>
      </c>
      <c r="AA55" t="s">
        <v>68</v>
      </c>
      <c r="AB55" t="s">
        <v>18</v>
      </c>
      <c r="AC55" t="s">
        <v>19</v>
      </c>
      <c r="AD55" t="s">
        <v>34</v>
      </c>
      <c r="AE55" t="s">
        <v>12</v>
      </c>
      <c r="AF55" t="s">
        <v>21</v>
      </c>
      <c r="AG55" s="5">
        <v>79</v>
      </c>
      <c r="AH55" s="2">
        <v>79</v>
      </c>
      <c r="AI55" t="s">
        <v>22</v>
      </c>
      <c r="AJ55" s="4">
        <v>46079</v>
      </c>
      <c r="AK55" s="4">
        <v>46085</v>
      </c>
      <c r="AL55" s="4">
        <v>46079</v>
      </c>
      <c r="AM55" t="s">
        <v>2</v>
      </c>
      <c r="AN55" t="s">
        <v>2</v>
      </c>
      <c r="AO55" t="s">
        <v>23</v>
      </c>
    </row>
    <row r="56" spans="1:41" x14ac:dyDescent="0.2">
      <c r="A56" t="s">
        <v>0</v>
      </c>
      <c r="B56" t="s">
        <v>1</v>
      </c>
      <c r="C56" t="s">
        <v>2</v>
      </c>
      <c r="D56" t="s">
        <v>103</v>
      </c>
      <c r="E56" t="s">
        <v>104</v>
      </c>
      <c r="F56" t="s">
        <v>105</v>
      </c>
      <c r="G56" t="s">
        <v>6</v>
      </c>
      <c r="H56" t="s">
        <v>110</v>
      </c>
      <c r="I56" t="str">
        <f t="shared" si="0"/>
        <v>PXCBS-F67080GAU</v>
      </c>
      <c r="J56" t="s">
        <v>92</v>
      </c>
      <c r="K56" t="s">
        <v>93</v>
      </c>
      <c r="L56" s="2">
        <v>79</v>
      </c>
      <c r="M56" s="7">
        <v>1</v>
      </c>
      <c r="N56" s="3" t="str">
        <f t="shared" si="1"/>
        <v>GAU</v>
      </c>
      <c r="O56" t="s">
        <v>94</v>
      </c>
      <c r="P56" s="4">
        <v>46079</v>
      </c>
      <c r="Q56" t="s">
        <v>11</v>
      </c>
      <c r="R56" t="s">
        <v>2</v>
      </c>
      <c r="S56" t="s">
        <v>12</v>
      </c>
      <c r="T56" s="4">
        <v>46079</v>
      </c>
      <c r="U56" t="s">
        <v>13</v>
      </c>
      <c r="V56" t="s">
        <v>2</v>
      </c>
      <c r="W56" t="s">
        <v>14</v>
      </c>
      <c r="X56" t="s">
        <v>15</v>
      </c>
      <c r="Y56" t="s">
        <v>16</v>
      </c>
      <c r="Z56" t="s">
        <v>68</v>
      </c>
      <c r="AA56" t="s">
        <v>68</v>
      </c>
      <c r="AB56" t="s">
        <v>18</v>
      </c>
      <c r="AC56" t="s">
        <v>19</v>
      </c>
      <c r="AD56" t="s">
        <v>34</v>
      </c>
      <c r="AE56" t="s">
        <v>26</v>
      </c>
      <c r="AF56" t="s">
        <v>21</v>
      </c>
      <c r="AG56" s="5">
        <v>79</v>
      </c>
      <c r="AH56" s="2">
        <v>79</v>
      </c>
      <c r="AI56" t="s">
        <v>22</v>
      </c>
      <c r="AJ56" s="4">
        <v>46079</v>
      </c>
      <c r="AK56" s="4">
        <v>46085</v>
      </c>
      <c r="AL56" s="4">
        <v>46079</v>
      </c>
      <c r="AM56" t="s">
        <v>2</v>
      </c>
      <c r="AN56" t="s">
        <v>2</v>
      </c>
      <c r="AO56" t="s">
        <v>23</v>
      </c>
    </row>
    <row r="57" spans="1:41" x14ac:dyDescent="0.2">
      <c r="A57" t="s">
        <v>0</v>
      </c>
      <c r="B57" t="s">
        <v>1</v>
      </c>
      <c r="C57" t="s">
        <v>2</v>
      </c>
      <c r="D57" t="s">
        <v>103</v>
      </c>
      <c r="E57" t="s">
        <v>104</v>
      </c>
      <c r="F57" t="s">
        <v>105</v>
      </c>
      <c r="G57" t="s">
        <v>6</v>
      </c>
      <c r="H57" t="s">
        <v>111</v>
      </c>
      <c r="I57" t="str">
        <f t="shared" si="0"/>
        <v>PXCDS-F63024CAB</v>
      </c>
      <c r="J57" t="s">
        <v>101</v>
      </c>
      <c r="K57" t="s">
        <v>86</v>
      </c>
      <c r="L57" s="2">
        <v>1</v>
      </c>
      <c r="M57" s="7">
        <v>40</v>
      </c>
      <c r="N57" s="3" t="str">
        <f t="shared" si="1"/>
        <v>CAB</v>
      </c>
      <c r="O57" t="s">
        <v>40</v>
      </c>
      <c r="P57" s="4">
        <v>46079</v>
      </c>
      <c r="Q57" t="s">
        <v>11</v>
      </c>
      <c r="R57" t="s">
        <v>2</v>
      </c>
      <c r="S57" t="s">
        <v>12</v>
      </c>
      <c r="T57" s="4">
        <v>46079</v>
      </c>
      <c r="U57" t="s">
        <v>13</v>
      </c>
      <c r="V57" t="s">
        <v>2</v>
      </c>
      <c r="W57" t="s">
        <v>14</v>
      </c>
      <c r="X57" t="s">
        <v>15</v>
      </c>
      <c r="Y57" t="s">
        <v>16</v>
      </c>
      <c r="Z57" t="s">
        <v>68</v>
      </c>
      <c r="AA57" t="s">
        <v>68</v>
      </c>
      <c r="AB57" t="s">
        <v>18</v>
      </c>
      <c r="AC57" t="s">
        <v>19</v>
      </c>
      <c r="AD57" t="s">
        <v>34</v>
      </c>
      <c r="AE57" t="s">
        <v>12</v>
      </c>
      <c r="AF57" t="s">
        <v>21</v>
      </c>
      <c r="AG57" s="5">
        <v>1</v>
      </c>
      <c r="AH57" s="2">
        <v>40</v>
      </c>
      <c r="AI57" t="s">
        <v>22</v>
      </c>
      <c r="AJ57" s="4">
        <v>46079</v>
      </c>
      <c r="AK57" s="4">
        <v>46085</v>
      </c>
      <c r="AL57" s="4">
        <v>46079</v>
      </c>
      <c r="AM57" t="s">
        <v>2</v>
      </c>
      <c r="AN57" t="s">
        <v>2</v>
      </c>
      <c r="AO57" t="s">
        <v>23</v>
      </c>
    </row>
    <row r="58" spans="1:41" x14ac:dyDescent="0.2">
      <c r="A58" t="s">
        <v>0</v>
      </c>
      <c r="B58" t="s">
        <v>1</v>
      </c>
      <c r="C58" t="s">
        <v>2</v>
      </c>
      <c r="D58" t="s">
        <v>103</v>
      </c>
      <c r="E58" t="s">
        <v>104</v>
      </c>
      <c r="F58" t="s">
        <v>105</v>
      </c>
      <c r="G58" t="s">
        <v>6</v>
      </c>
      <c r="H58" t="s">
        <v>112</v>
      </c>
      <c r="I58" t="str">
        <f t="shared" si="0"/>
        <v>PXCDS-F67008LAW</v>
      </c>
      <c r="J58" t="s">
        <v>31</v>
      </c>
      <c r="K58" t="s">
        <v>32</v>
      </c>
      <c r="L58" s="2">
        <v>85</v>
      </c>
      <c r="M58" s="7">
        <v>11</v>
      </c>
      <c r="N58" s="3" t="str">
        <f t="shared" si="1"/>
        <v>LAW</v>
      </c>
      <c r="O58" t="s">
        <v>33</v>
      </c>
      <c r="P58" s="4">
        <v>46079</v>
      </c>
      <c r="Q58" t="s">
        <v>11</v>
      </c>
      <c r="R58" t="s">
        <v>2</v>
      </c>
      <c r="S58" t="s">
        <v>12</v>
      </c>
      <c r="T58" s="4">
        <v>46079</v>
      </c>
      <c r="U58" t="s">
        <v>13</v>
      </c>
      <c r="V58" t="s">
        <v>2</v>
      </c>
      <c r="W58" t="s">
        <v>14</v>
      </c>
      <c r="X58" t="s">
        <v>15</v>
      </c>
      <c r="Y58" t="s">
        <v>16</v>
      </c>
      <c r="Z58" t="s">
        <v>68</v>
      </c>
      <c r="AA58" t="s">
        <v>68</v>
      </c>
      <c r="AB58" t="s">
        <v>18</v>
      </c>
      <c r="AC58" t="s">
        <v>19</v>
      </c>
      <c r="AD58" t="s">
        <v>34</v>
      </c>
      <c r="AE58" t="s">
        <v>12</v>
      </c>
      <c r="AF58" t="s">
        <v>21</v>
      </c>
      <c r="AG58" s="5">
        <v>85</v>
      </c>
      <c r="AH58" s="2">
        <v>935</v>
      </c>
      <c r="AI58" t="s">
        <v>22</v>
      </c>
      <c r="AJ58" s="4">
        <v>46079</v>
      </c>
      <c r="AK58" s="4">
        <v>46085</v>
      </c>
      <c r="AL58" s="4">
        <v>46079</v>
      </c>
      <c r="AM58" t="s">
        <v>2</v>
      </c>
      <c r="AN58" t="s">
        <v>2</v>
      </c>
      <c r="AO58" t="s">
        <v>23</v>
      </c>
    </row>
    <row r="59" spans="1:41" x14ac:dyDescent="0.2">
      <c r="A59" t="s">
        <v>0</v>
      </c>
      <c r="B59" t="s">
        <v>1</v>
      </c>
      <c r="C59" t="s">
        <v>2</v>
      </c>
      <c r="D59" t="s">
        <v>103</v>
      </c>
      <c r="E59" t="s">
        <v>104</v>
      </c>
      <c r="F59" t="s">
        <v>105</v>
      </c>
      <c r="G59" t="s">
        <v>6</v>
      </c>
      <c r="H59" t="s">
        <v>113</v>
      </c>
      <c r="I59" t="str">
        <f t="shared" si="0"/>
        <v>PXCEI-F67043CAB</v>
      </c>
      <c r="J59" t="s">
        <v>39</v>
      </c>
      <c r="K59" t="s">
        <v>37</v>
      </c>
      <c r="L59" s="2">
        <v>89.5</v>
      </c>
      <c r="M59" s="7">
        <v>35</v>
      </c>
      <c r="N59" s="3" t="str">
        <f t="shared" si="1"/>
        <v>CAB</v>
      </c>
      <c r="O59" t="s">
        <v>40</v>
      </c>
      <c r="P59" s="4">
        <v>46079</v>
      </c>
      <c r="Q59" t="s">
        <v>11</v>
      </c>
      <c r="R59" t="s">
        <v>2</v>
      </c>
      <c r="S59" t="s">
        <v>12</v>
      </c>
      <c r="T59" s="4">
        <v>46079</v>
      </c>
      <c r="U59" t="s">
        <v>13</v>
      </c>
      <c r="V59" t="s">
        <v>2</v>
      </c>
      <c r="W59" t="s">
        <v>14</v>
      </c>
      <c r="X59" t="s">
        <v>15</v>
      </c>
      <c r="Y59" t="s">
        <v>16</v>
      </c>
      <c r="Z59" t="s">
        <v>68</v>
      </c>
      <c r="AA59" t="s">
        <v>68</v>
      </c>
      <c r="AB59" t="s">
        <v>18</v>
      </c>
      <c r="AC59" t="s">
        <v>19</v>
      </c>
      <c r="AD59" t="s">
        <v>34</v>
      </c>
      <c r="AE59" t="s">
        <v>12</v>
      </c>
      <c r="AF59" t="s">
        <v>21</v>
      </c>
      <c r="AG59" s="5">
        <v>89.5</v>
      </c>
      <c r="AH59" s="2">
        <v>3132.5</v>
      </c>
      <c r="AI59" t="s">
        <v>22</v>
      </c>
      <c r="AJ59" s="4">
        <v>46079</v>
      </c>
      <c r="AK59" s="4">
        <v>46085</v>
      </c>
      <c r="AL59" s="4">
        <v>46079</v>
      </c>
      <c r="AM59" t="s">
        <v>2</v>
      </c>
      <c r="AN59" t="s">
        <v>2</v>
      </c>
      <c r="AO59" t="s">
        <v>23</v>
      </c>
    </row>
    <row r="60" spans="1:41" x14ac:dyDescent="0.2">
      <c r="A60" t="s">
        <v>0</v>
      </c>
      <c r="B60" t="s">
        <v>1</v>
      </c>
      <c r="C60" t="s">
        <v>2</v>
      </c>
      <c r="D60" t="s">
        <v>103</v>
      </c>
      <c r="E60" t="s">
        <v>104</v>
      </c>
      <c r="F60" t="s">
        <v>105</v>
      </c>
      <c r="G60" t="s">
        <v>6</v>
      </c>
      <c r="H60" t="s">
        <v>114</v>
      </c>
      <c r="I60" t="str">
        <f t="shared" si="0"/>
        <v>PXCCM-F67080CAB</v>
      </c>
      <c r="J60" t="s">
        <v>115</v>
      </c>
      <c r="K60" t="s">
        <v>116</v>
      </c>
      <c r="L60" s="2">
        <v>1</v>
      </c>
      <c r="M60" s="7">
        <v>2</v>
      </c>
      <c r="N60" s="3" t="str">
        <f t="shared" si="1"/>
        <v>CAB</v>
      </c>
      <c r="O60" t="s">
        <v>40</v>
      </c>
      <c r="P60" s="4">
        <v>46080</v>
      </c>
      <c r="Q60" t="s">
        <v>11</v>
      </c>
      <c r="R60" t="s">
        <v>2</v>
      </c>
      <c r="S60" t="s">
        <v>12</v>
      </c>
      <c r="T60" s="4">
        <v>46080</v>
      </c>
      <c r="U60" t="s">
        <v>13</v>
      </c>
      <c r="V60" t="s">
        <v>2</v>
      </c>
      <c r="W60" t="s">
        <v>14</v>
      </c>
      <c r="X60" t="s">
        <v>15</v>
      </c>
      <c r="Y60" t="s">
        <v>16</v>
      </c>
      <c r="Z60" t="s">
        <v>68</v>
      </c>
      <c r="AA60" t="s">
        <v>68</v>
      </c>
      <c r="AB60" t="s">
        <v>18</v>
      </c>
      <c r="AC60" t="s">
        <v>19</v>
      </c>
      <c r="AD60" t="s">
        <v>34</v>
      </c>
      <c r="AE60" t="s">
        <v>12</v>
      </c>
      <c r="AF60" t="s">
        <v>21</v>
      </c>
      <c r="AG60" s="5">
        <v>1</v>
      </c>
      <c r="AH60" s="2">
        <v>2</v>
      </c>
      <c r="AI60" t="s">
        <v>22</v>
      </c>
      <c r="AJ60" s="4">
        <v>46080</v>
      </c>
      <c r="AK60" s="4">
        <v>46086</v>
      </c>
      <c r="AL60" s="4">
        <v>46080</v>
      </c>
      <c r="AM60" t="s">
        <v>2</v>
      </c>
      <c r="AN60" t="s">
        <v>2</v>
      </c>
      <c r="AO60" t="s">
        <v>23</v>
      </c>
    </row>
    <row r="61" spans="1:41" x14ac:dyDescent="0.2">
      <c r="A61" t="s">
        <v>0</v>
      </c>
      <c r="B61" t="s">
        <v>1</v>
      </c>
      <c r="C61" t="s">
        <v>2</v>
      </c>
      <c r="D61" t="s">
        <v>117</v>
      </c>
      <c r="E61" t="s">
        <v>118</v>
      </c>
      <c r="F61" t="s">
        <v>119</v>
      </c>
      <c r="G61" t="s">
        <v>6</v>
      </c>
      <c r="H61" t="s">
        <v>120</v>
      </c>
      <c r="I61" t="str">
        <f t="shared" si="0"/>
        <v>PXBHZ-F65101LZZ</v>
      </c>
      <c r="J61" t="s">
        <v>43</v>
      </c>
      <c r="K61" t="s">
        <v>44</v>
      </c>
      <c r="L61" s="2">
        <v>22.4</v>
      </c>
      <c r="M61" s="7">
        <v>15</v>
      </c>
      <c r="N61" s="3" t="str">
        <f t="shared" si="1"/>
        <v>LZZ</v>
      </c>
      <c r="O61" t="s">
        <v>46</v>
      </c>
      <c r="P61" s="4">
        <v>46079</v>
      </c>
      <c r="Q61" t="s">
        <v>11</v>
      </c>
      <c r="R61" t="s">
        <v>2</v>
      </c>
      <c r="S61" t="s">
        <v>12</v>
      </c>
      <c r="T61" s="4">
        <v>46079</v>
      </c>
      <c r="U61" t="s">
        <v>13</v>
      </c>
      <c r="V61" t="s">
        <v>2</v>
      </c>
      <c r="W61" t="s">
        <v>14</v>
      </c>
      <c r="X61" t="s">
        <v>15</v>
      </c>
      <c r="Y61" t="s">
        <v>16</v>
      </c>
      <c r="Z61" t="s">
        <v>68</v>
      </c>
      <c r="AA61" t="s">
        <v>68</v>
      </c>
      <c r="AB61" t="s">
        <v>18</v>
      </c>
      <c r="AC61" t="s">
        <v>19</v>
      </c>
      <c r="AD61" t="s">
        <v>47</v>
      </c>
      <c r="AE61" t="s">
        <v>12</v>
      </c>
      <c r="AF61" t="s">
        <v>21</v>
      </c>
      <c r="AG61" s="5">
        <v>22.4</v>
      </c>
      <c r="AH61" s="2">
        <v>336</v>
      </c>
      <c r="AI61" t="s">
        <v>22</v>
      </c>
      <c r="AJ61" s="4">
        <v>46079</v>
      </c>
      <c r="AK61" s="4">
        <v>46085</v>
      </c>
      <c r="AL61" s="4">
        <v>46079</v>
      </c>
      <c r="AM61" t="s">
        <v>2</v>
      </c>
      <c r="AN61" t="s">
        <v>2</v>
      </c>
      <c r="AO61" t="s">
        <v>23</v>
      </c>
    </row>
    <row r="62" spans="1:41" x14ac:dyDescent="0.2">
      <c r="A62" t="s">
        <v>0</v>
      </c>
      <c r="B62" t="s">
        <v>1</v>
      </c>
      <c r="C62" t="s">
        <v>2</v>
      </c>
      <c r="D62" t="s">
        <v>117</v>
      </c>
      <c r="E62" t="s">
        <v>118</v>
      </c>
      <c r="F62" t="s">
        <v>119</v>
      </c>
      <c r="G62" t="s">
        <v>6</v>
      </c>
      <c r="H62" t="s">
        <v>120</v>
      </c>
      <c r="I62" t="str">
        <f t="shared" si="0"/>
        <v>PXBHZ-F65101LZZ</v>
      </c>
      <c r="J62" t="s">
        <v>43</v>
      </c>
      <c r="K62" t="s">
        <v>44</v>
      </c>
      <c r="L62" s="2">
        <v>22.4</v>
      </c>
      <c r="M62" s="7">
        <v>15</v>
      </c>
      <c r="N62" s="3" t="str">
        <f t="shared" si="1"/>
        <v>LZZ</v>
      </c>
      <c r="O62" t="s">
        <v>48</v>
      </c>
      <c r="P62" s="4">
        <v>46079</v>
      </c>
      <c r="Q62" t="s">
        <v>11</v>
      </c>
      <c r="R62" t="s">
        <v>2</v>
      </c>
      <c r="S62" t="s">
        <v>12</v>
      </c>
      <c r="T62" s="4">
        <v>46079</v>
      </c>
      <c r="U62" t="s">
        <v>13</v>
      </c>
      <c r="V62" t="s">
        <v>2</v>
      </c>
      <c r="W62" t="s">
        <v>14</v>
      </c>
      <c r="X62" t="s">
        <v>15</v>
      </c>
      <c r="Y62" t="s">
        <v>16</v>
      </c>
      <c r="Z62" t="s">
        <v>68</v>
      </c>
      <c r="AA62" t="s">
        <v>68</v>
      </c>
      <c r="AB62" t="s">
        <v>18</v>
      </c>
      <c r="AC62" t="s">
        <v>19</v>
      </c>
      <c r="AD62" t="s">
        <v>49</v>
      </c>
      <c r="AE62" t="s">
        <v>26</v>
      </c>
      <c r="AF62" t="s">
        <v>21</v>
      </c>
      <c r="AG62" s="5">
        <v>22.4</v>
      </c>
      <c r="AH62" s="2">
        <v>336</v>
      </c>
      <c r="AI62" t="s">
        <v>22</v>
      </c>
      <c r="AJ62" s="4">
        <v>46079</v>
      </c>
      <c r="AK62" s="4">
        <v>46085</v>
      </c>
      <c r="AL62" s="4">
        <v>46079</v>
      </c>
      <c r="AM62" t="s">
        <v>2</v>
      </c>
      <c r="AN62" t="s">
        <v>2</v>
      </c>
      <c r="AO62" t="s">
        <v>23</v>
      </c>
    </row>
    <row r="63" spans="1:41" x14ac:dyDescent="0.2">
      <c r="A63" t="s">
        <v>0</v>
      </c>
      <c r="B63" t="s">
        <v>1</v>
      </c>
      <c r="C63" t="s">
        <v>2</v>
      </c>
      <c r="D63" t="s">
        <v>117</v>
      </c>
      <c r="E63" t="s">
        <v>118</v>
      </c>
      <c r="F63" t="s">
        <v>119</v>
      </c>
      <c r="G63" t="s">
        <v>6</v>
      </c>
      <c r="H63" t="s">
        <v>121</v>
      </c>
      <c r="I63" t="str">
        <f t="shared" si="0"/>
        <v>PXCBC-F67008LZZ</v>
      </c>
      <c r="J63" t="s">
        <v>61</v>
      </c>
      <c r="K63" t="s">
        <v>32</v>
      </c>
      <c r="L63" s="2">
        <v>67.8</v>
      </c>
      <c r="M63" s="7">
        <v>30</v>
      </c>
      <c r="N63" s="3" t="str">
        <f t="shared" si="1"/>
        <v>LZZ</v>
      </c>
      <c r="O63" t="s">
        <v>83</v>
      </c>
      <c r="P63" s="4">
        <v>46079</v>
      </c>
      <c r="Q63" t="s">
        <v>11</v>
      </c>
      <c r="R63" t="s">
        <v>2</v>
      </c>
      <c r="S63" t="s">
        <v>12</v>
      </c>
      <c r="T63" s="4">
        <v>46079</v>
      </c>
      <c r="U63" t="s">
        <v>13</v>
      </c>
      <c r="V63" t="s">
        <v>2</v>
      </c>
      <c r="W63" t="s">
        <v>14</v>
      </c>
      <c r="X63" t="s">
        <v>15</v>
      </c>
      <c r="Y63" t="s">
        <v>16</v>
      </c>
      <c r="Z63" t="s">
        <v>68</v>
      </c>
      <c r="AA63" t="s">
        <v>68</v>
      </c>
      <c r="AB63" t="s">
        <v>18</v>
      </c>
      <c r="AC63" t="s">
        <v>19</v>
      </c>
      <c r="AD63" t="s">
        <v>34</v>
      </c>
      <c r="AE63" t="s">
        <v>26</v>
      </c>
      <c r="AF63" t="s">
        <v>21</v>
      </c>
      <c r="AG63" s="5">
        <v>67.8</v>
      </c>
      <c r="AH63" s="2">
        <v>2034</v>
      </c>
      <c r="AI63" t="s">
        <v>22</v>
      </c>
      <c r="AJ63" s="4">
        <v>46079</v>
      </c>
      <c r="AK63" s="4">
        <v>46085</v>
      </c>
      <c r="AL63" s="4">
        <v>46079</v>
      </c>
      <c r="AM63" t="s">
        <v>2</v>
      </c>
      <c r="AN63" t="s">
        <v>2</v>
      </c>
      <c r="AO63" t="s">
        <v>23</v>
      </c>
    </row>
    <row r="64" spans="1:41" x14ac:dyDescent="0.2">
      <c r="A64" t="s">
        <v>0</v>
      </c>
      <c r="B64" t="s">
        <v>1</v>
      </c>
      <c r="C64" t="s">
        <v>2</v>
      </c>
      <c r="D64" t="s">
        <v>117</v>
      </c>
      <c r="E64" t="s">
        <v>118</v>
      </c>
      <c r="F64" t="s">
        <v>119</v>
      </c>
      <c r="G64" t="s">
        <v>6</v>
      </c>
      <c r="H64" t="s">
        <v>121</v>
      </c>
      <c r="I64" t="str">
        <f t="shared" si="0"/>
        <v>PXCBC-F67008LAW</v>
      </c>
      <c r="J64" t="s">
        <v>61</v>
      </c>
      <c r="K64" t="s">
        <v>32</v>
      </c>
      <c r="L64" s="2">
        <v>67.8</v>
      </c>
      <c r="M64" s="7">
        <v>40</v>
      </c>
      <c r="N64" s="3" t="str">
        <f t="shared" si="1"/>
        <v>LAW</v>
      </c>
      <c r="O64" t="s">
        <v>33</v>
      </c>
      <c r="P64" s="4">
        <v>46079</v>
      </c>
      <c r="Q64" t="s">
        <v>11</v>
      </c>
      <c r="R64" t="s">
        <v>2</v>
      </c>
      <c r="S64" t="s">
        <v>12</v>
      </c>
      <c r="T64" s="4">
        <v>46079</v>
      </c>
      <c r="U64" t="s">
        <v>13</v>
      </c>
      <c r="V64" t="s">
        <v>2</v>
      </c>
      <c r="W64" t="s">
        <v>14</v>
      </c>
      <c r="X64" t="s">
        <v>15</v>
      </c>
      <c r="Y64" t="s">
        <v>16</v>
      </c>
      <c r="Z64" t="s">
        <v>68</v>
      </c>
      <c r="AA64" t="s">
        <v>68</v>
      </c>
      <c r="AB64" t="s">
        <v>18</v>
      </c>
      <c r="AC64" t="s">
        <v>19</v>
      </c>
      <c r="AD64" t="s">
        <v>34</v>
      </c>
      <c r="AE64" t="s">
        <v>12</v>
      </c>
      <c r="AF64" t="s">
        <v>21</v>
      </c>
      <c r="AG64" s="5">
        <v>67.8</v>
      </c>
      <c r="AH64" s="2">
        <v>2712</v>
      </c>
      <c r="AI64" t="s">
        <v>22</v>
      </c>
      <c r="AJ64" s="4">
        <v>46079</v>
      </c>
      <c r="AK64" s="4">
        <v>46085</v>
      </c>
      <c r="AL64" s="4">
        <v>46079</v>
      </c>
      <c r="AM64" t="s">
        <v>2</v>
      </c>
      <c r="AN64" t="s">
        <v>2</v>
      </c>
      <c r="AO64" t="s">
        <v>23</v>
      </c>
    </row>
    <row r="65" spans="1:41" x14ac:dyDescent="0.2">
      <c r="A65" t="s">
        <v>0</v>
      </c>
      <c r="B65" t="s">
        <v>1</v>
      </c>
      <c r="C65" t="s">
        <v>2</v>
      </c>
      <c r="D65" t="s">
        <v>117</v>
      </c>
      <c r="E65" t="s">
        <v>118</v>
      </c>
      <c r="F65" t="s">
        <v>119</v>
      </c>
      <c r="G65" t="s">
        <v>6</v>
      </c>
      <c r="H65" t="s">
        <v>122</v>
      </c>
      <c r="I65" t="str">
        <f t="shared" si="0"/>
        <v>PXCBC-F67043LAW</v>
      </c>
      <c r="J65" t="s">
        <v>88</v>
      </c>
      <c r="K65" t="s">
        <v>37</v>
      </c>
      <c r="L65" s="2">
        <v>66.5</v>
      </c>
      <c r="M65" s="7">
        <v>40</v>
      </c>
      <c r="N65" s="3" t="str">
        <f t="shared" si="1"/>
        <v>LAW</v>
      </c>
      <c r="O65" t="s">
        <v>33</v>
      </c>
      <c r="P65" s="4">
        <v>46079</v>
      </c>
      <c r="Q65" t="s">
        <v>11</v>
      </c>
      <c r="R65" t="s">
        <v>2</v>
      </c>
      <c r="S65" t="s">
        <v>12</v>
      </c>
      <c r="T65" s="4">
        <v>46079</v>
      </c>
      <c r="U65" t="s">
        <v>13</v>
      </c>
      <c r="V65" t="s">
        <v>2</v>
      </c>
      <c r="W65" t="s">
        <v>14</v>
      </c>
      <c r="X65" t="s">
        <v>15</v>
      </c>
      <c r="Y65" t="s">
        <v>16</v>
      </c>
      <c r="Z65" t="s">
        <v>68</v>
      </c>
      <c r="AA65" t="s">
        <v>68</v>
      </c>
      <c r="AB65" t="s">
        <v>18</v>
      </c>
      <c r="AC65" t="s">
        <v>19</v>
      </c>
      <c r="AD65" t="s">
        <v>34</v>
      </c>
      <c r="AE65" t="s">
        <v>12</v>
      </c>
      <c r="AF65" t="s">
        <v>21</v>
      </c>
      <c r="AG65" s="5">
        <v>66.5</v>
      </c>
      <c r="AH65" s="2">
        <v>2660</v>
      </c>
      <c r="AI65" t="s">
        <v>22</v>
      </c>
      <c r="AJ65" s="4">
        <v>46079</v>
      </c>
      <c r="AK65" s="4">
        <v>46085</v>
      </c>
      <c r="AL65" s="4">
        <v>46079</v>
      </c>
      <c r="AM65" t="s">
        <v>2</v>
      </c>
      <c r="AN65" t="s">
        <v>2</v>
      </c>
      <c r="AO65" t="s">
        <v>23</v>
      </c>
    </row>
    <row r="66" spans="1:41" x14ac:dyDescent="0.2">
      <c r="A66" t="s">
        <v>0</v>
      </c>
      <c r="B66" t="s">
        <v>1</v>
      </c>
      <c r="C66" t="s">
        <v>2</v>
      </c>
      <c r="D66" t="s">
        <v>117</v>
      </c>
      <c r="E66" t="s">
        <v>118</v>
      </c>
      <c r="F66" t="s">
        <v>119</v>
      </c>
      <c r="G66" t="s">
        <v>6</v>
      </c>
      <c r="H66" t="s">
        <v>123</v>
      </c>
      <c r="I66" t="str">
        <f t="shared" si="0"/>
        <v>PXCDS-F67008LAW</v>
      </c>
      <c r="J66" t="s">
        <v>31</v>
      </c>
      <c r="K66" t="s">
        <v>32</v>
      </c>
      <c r="L66" s="2">
        <v>85</v>
      </c>
      <c r="M66" s="7">
        <v>40</v>
      </c>
      <c r="N66" s="3" t="str">
        <f t="shared" si="1"/>
        <v>LAW</v>
      </c>
      <c r="O66" t="s">
        <v>33</v>
      </c>
      <c r="P66" s="4">
        <v>46079</v>
      </c>
      <c r="Q66" t="s">
        <v>11</v>
      </c>
      <c r="R66" t="s">
        <v>2</v>
      </c>
      <c r="S66" t="s">
        <v>12</v>
      </c>
      <c r="T66" s="4">
        <v>46079</v>
      </c>
      <c r="U66" t="s">
        <v>13</v>
      </c>
      <c r="V66" t="s">
        <v>2</v>
      </c>
      <c r="W66" t="s">
        <v>14</v>
      </c>
      <c r="X66" t="s">
        <v>15</v>
      </c>
      <c r="Y66" t="s">
        <v>16</v>
      </c>
      <c r="Z66" t="s">
        <v>68</v>
      </c>
      <c r="AA66" t="s">
        <v>68</v>
      </c>
      <c r="AB66" t="s">
        <v>18</v>
      </c>
      <c r="AC66" t="s">
        <v>19</v>
      </c>
      <c r="AD66" t="s">
        <v>34</v>
      </c>
      <c r="AE66" t="s">
        <v>12</v>
      </c>
      <c r="AF66" t="s">
        <v>21</v>
      </c>
      <c r="AG66" s="5">
        <v>85</v>
      </c>
      <c r="AH66" s="2">
        <v>3400</v>
      </c>
      <c r="AI66" t="s">
        <v>22</v>
      </c>
      <c r="AJ66" s="4">
        <v>46079</v>
      </c>
      <c r="AK66" s="4">
        <v>46085</v>
      </c>
      <c r="AL66" s="4">
        <v>46079</v>
      </c>
      <c r="AM66" t="s">
        <v>2</v>
      </c>
      <c r="AN66" t="s">
        <v>2</v>
      </c>
      <c r="AO66" t="s">
        <v>23</v>
      </c>
    </row>
    <row r="67" spans="1:41" x14ac:dyDescent="0.2">
      <c r="A67" t="s">
        <v>0</v>
      </c>
      <c r="B67" t="s">
        <v>1</v>
      </c>
      <c r="C67" t="s">
        <v>2</v>
      </c>
      <c r="D67" t="s">
        <v>117</v>
      </c>
      <c r="E67" t="s">
        <v>118</v>
      </c>
      <c r="F67" t="s">
        <v>119</v>
      </c>
      <c r="G67" t="s">
        <v>6</v>
      </c>
      <c r="H67" t="s">
        <v>124</v>
      </c>
      <c r="I67" t="str">
        <f t="shared" ref="I67:I130" si="2">J67&amp;N67</f>
        <v>PXCDS-F67043LAW</v>
      </c>
      <c r="J67" t="s">
        <v>36</v>
      </c>
      <c r="K67" t="s">
        <v>37</v>
      </c>
      <c r="L67" s="2">
        <v>89.5</v>
      </c>
      <c r="M67" s="7">
        <v>40</v>
      </c>
      <c r="N67" s="3" t="str">
        <f t="shared" ref="N67:N130" si="3">LEFT(O67,3)</f>
        <v>LAW</v>
      </c>
      <c r="O67" t="s">
        <v>33</v>
      </c>
      <c r="P67" s="4">
        <v>46079</v>
      </c>
      <c r="Q67" t="s">
        <v>11</v>
      </c>
      <c r="R67" t="s">
        <v>2</v>
      </c>
      <c r="S67" t="s">
        <v>12</v>
      </c>
      <c r="T67" s="4">
        <v>46079</v>
      </c>
      <c r="U67" t="s">
        <v>13</v>
      </c>
      <c r="V67" t="s">
        <v>2</v>
      </c>
      <c r="W67" t="s">
        <v>14</v>
      </c>
      <c r="X67" t="s">
        <v>15</v>
      </c>
      <c r="Y67" t="s">
        <v>16</v>
      </c>
      <c r="Z67" t="s">
        <v>68</v>
      </c>
      <c r="AA67" t="s">
        <v>68</v>
      </c>
      <c r="AB67" t="s">
        <v>18</v>
      </c>
      <c r="AC67" t="s">
        <v>19</v>
      </c>
      <c r="AD67" t="s">
        <v>34</v>
      </c>
      <c r="AE67" t="s">
        <v>12</v>
      </c>
      <c r="AF67" t="s">
        <v>21</v>
      </c>
      <c r="AG67" s="5">
        <v>89.5</v>
      </c>
      <c r="AH67" s="2">
        <v>3580</v>
      </c>
      <c r="AI67" t="s">
        <v>22</v>
      </c>
      <c r="AJ67" s="4">
        <v>46079</v>
      </c>
      <c r="AK67" s="4">
        <v>46085</v>
      </c>
      <c r="AL67" s="4">
        <v>46079</v>
      </c>
      <c r="AM67" t="s">
        <v>2</v>
      </c>
      <c r="AN67" t="s">
        <v>2</v>
      </c>
      <c r="AO67" t="s">
        <v>23</v>
      </c>
    </row>
    <row r="68" spans="1:41" x14ac:dyDescent="0.2">
      <c r="A68" t="s">
        <v>0</v>
      </c>
      <c r="B68" t="s">
        <v>1</v>
      </c>
      <c r="C68" t="s">
        <v>2</v>
      </c>
      <c r="D68" t="s">
        <v>117</v>
      </c>
      <c r="E68" t="s">
        <v>118</v>
      </c>
      <c r="F68" t="s">
        <v>119</v>
      </c>
      <c r="G68" t="s">
        <v>6</v>
      </c>
      <c r="H68" t="s">
        <v>125</v>
      </c>
      <c r="I68" t="str">
        <f t="shared" si="2"/>
        <v>PXCCM-F67080LAW</v>
      </c>
      <c r="J68" t="s">
        <v>115</v>
      </c>
      <c r="K68" t="s">
        <v>116</v>
      </c>
      <c r="L68" s="2">
        <v>1</v>
      </c>
      <c r="M68" s="7">
        <v>35</v>
      </c>
      <c r="N68" s="3" t="str">
        <f t="shared" si="3"/>
        <v>LAW</v>
      </c>
      <c r="O68" t="s">
        <v>33</v>
      </c>
      <c r="P68" s="4">
        <v>46080</v>
      </c>
      <c r="Q68" t="s">
        <v>11</v>
      </c>
      <c r="R68" t="s">
        <v>2</v>
      </c>
      <c r="S68" t="s">
        <v>12</v>
      </c>
      <c r="T68" s="4">
        <v>46080</v>
      </c>
      <c r="U68" t="s">
        <v>13</v>
      </c>
      <c r="V68" t="s">
        <v>2</v>
      </c>
      <c r="W68" t="s">
        <v>14</v>
      </c>
      <c r="X68" t="s">
        <v>15</v>
      </c>
      <c r="Y68" t="s">
        <v>16</v>
      </c>
      <c r="Z68" t="s">
        <v>68</v>
      </c>
      <c r="AA68" t="s">
        <v>68</v>
      </c>
      <c r="AB68" t="s">
        <v>18</v>
      </c>
      <c r="AC68" t="s">
        <v>19</v>
      </c>
      <c r="AD68" t="s">
        <v>34</v>
      </c>
      <c r="AE68" t="s">
        <v>12</v>
      </c>
      <c r="AF68" t="s">
        <v>21</v>
      </c>
      <c r="AG68" s="5">
        <v>1</v>
      </c>
      <c r="AH68" s="2">
        <v>35</v>
      </c>
      <c r="AI68" t="s">
        <v>22</v>
      </c>
      <c r="AJ68" s="4">
        <v>46080</v>
      </c>
      <c r="AK68" s="4">
        <v>46086</v>
      </c>
      <c r="AL68" s="4">
        <v>46080</v>
      </c>
      <c r="AM68" t="s">
        <v>2</v>
      </c>
      <c r="AN68" t="s">
        <v>2</v>
      </c>
      <c r="AO68" t="s">
        <v>23</v>
      </c>
    </row>
    <row r="69" spans="1:41" x14ac:dyDescent="0.2">
      <c r="A69" t="s">
        <v>0</v>
      </c>
      <c r="B69" t="s">
        <v>1</v>
      </c>
      <c r="C69" t="s">
        <v>2</v>
      </c>
      <c r="D69" t="s">
        <v>117</v>
      </c>
      <c r="E69" t="s">
        <v>118</v>
      </c>
      <c r="F69" t="s">
        <v>119</v>
      </c>
      <c r="G69" t="s">
        <v>6</v>
      </c>
      <c r="H69" t="s">
        <v>125</v>
      </c>
      <c r="I69" t="str">
        <f t="shared" si="2"/>
        <v>PXCCM-F67080CAB</v>
      </c>
      <c r="J69" t="s">
        <v>115</v>
      </c>
      <c r="K69" t="s">
        <v>116</v>
      </c>
      <c r="L69" s="2">
        <v>1</v>
      </c>
      <c r="M69" s="7">
        <v>35</v>
      </c>
      <c r="N69" s="3" t="str">
        <f t="shared" si="3"/>
        <v>CAB</v>
      </c>
      <c r="O69" t="s">
        <v>40</v>
      </c>
      <c r="P69" s="4">
        <v>46080</v>
      </c>
      <c r="Q69" t="s">
        <v>11</v>
      </c>
      <c r="R69" t="s">
        <v>2</v>
      </c>
      <c r="S69" t="s">
        <v>12</v>
      </c>
      <c r="T69" s="4">
        <v>46080</v>
      </c>
      <c r="U69" t="s">
        <v>13</v>
      </c>
      <c r="V69" t="s">
        <v>2</v>
      </c>
      <c r="W69" t="s">
        <v>14</v>
      </c>
      <c r="X69" t="s">
        <v>15</v>
      </c>
      <c r="Y69" t="s">
        <v>16</v>
      </c>
      <c r="Z69" t="s">
        <v>68</v>
      </c>
      <c r="AA69" t="s">
        <v>68</v>
      </c>
      <c r="AB69" t="s">
        <v>18</v>
      </c>
      <c r="AC69" t="s">
        <v>19</v>
      </c>
      <c r="AD69" t="s">
        <v>34</v>
      </c>
      <c r="AE69" t="s">
        <v>26</v>
      </c>
      <c r="AF69" t="s">
        <v>21</v>
      </c>
      <c r="AG69" s="5">
        <v>1</v>
      </c>
      <c r="AH69" s="2">
        <v>35</v>
      </c>
      <c r="AI69" t="s">
        <v>22</v>
      </c>
      <c r="AJ69" s="4">
        <v>46080</v>
      </c>
      <c r="AK69" s="4">
        <v>46086</v>
      </c>
      <c r="AL69" s="4">
        <v>46080</v>
      </c>
      <c r="AM69" t="s">
        <v>2</v>
      </c>
      <c r="AN69" t="s">
        <v>2</v>
      </c>
      <c r="AO69" t="s">
        <v>23</v>
      </c>
    </row>
    <row r="70" spans="1:41" x14ac:dyDescent="0.2">
      <c r="A70" t="s">
        <v>0</v>
      </c>
      <c r="B70" t="s">
        <v>1</v>
      </c>
      <c r="C70" t="s">
        <v>2</v>
      </c>
      <c r="D70" t="s">
        <v>126</v>
      </c>
      <c r="E70" t="s">
        <v>127</v>
      </c>
      <c r="F70" t="s">
        <v>2</v>
      </c>
      <c r="G70" t="s">
        <v>6</v>
      </c>
      <c r="H70" t="s">
        <v>128</v>
      </c>
      <c r="I70" t="str">
        <f t="shared" si="2"/>
        <v>PXCBC-F63023GAE</v>
      </c>
      <c r="J70" t="s">
        <v>79</v>
      </c>
      <c r="K70" t="s">
        <v>80</v>
      </c>
      <c r="L70" s="2">
        <v>41.5</v>
      </c>
      <c r="M70" s="7">
        <v>1</v>
      </c>
      <c r="N70" s="3" t="str">
        <f t="shared" si="3"/>
        <v>GAE</v>
      </c>
      <c r="O70" t="s">
        <v>81</v>
      </c>
      <c r="P70" s="4">
        <v>46079</v>
      </c>
      <c r="Q70" t="s">
        <v>11</v>
      </c>
      <c r="R70" t="s">
        <v>2</v>
      </c>
      <c r="S70" t="s">
        <v>12</v>
      </c>
      <c r="T70" s="4">
        <v>46079</v>
      </c>
      <c r="U70" t="s">
        <v>13</v>
      </c>
      <c r="V70" t="s">
        <v>2</v>
      </c>
      <c r="W70" t="s">
        <v>14</v>
      </c>
      <c r="X70" t="s">
        <v>15</v>
      </c>
      <c r="Y70" t="s">
        <v>16</v>
      </c>
      <c r="Z70" t="s">
        <v>68</v>
      </c>
      <c r="AA70" t="s">
        <v>68</v>
      </c>
      <c r="AB70" t="s">
        <v>18</v>
      </c>
      <c r="AC70" t="s">
        <v>19</v>
      </c>
      <c r="AD70" t="s">
        <v>34</v>
      </c>
      <c r="AE70" t="s">
        <v>12</v>
      </c>
      <c r="AF70" t="s">
        <v>21</v>
      </c>
      <c r="AG70" s="5">
        <v>41.5</v>
      </c>
      <c r="AH70" s="2">
        <v>41.5</v>
      </c>
      <c r="AI70" t="s">
        <v>22</v>
      </c>
      <c r="AJ70" s="4">
        <v>46079</v>
      </c>
      <c r="AK70" s="4">
        <v>46085</v>
      </c>
      <c r="AL70" s="4">
        <v>46079</v>
      </c>
      <c r="AM70" t="s">
        <v>2</v>
      </c>
      <c r="AN70" t="s">
        <v>2</v>
      </c>
      <c r="AO70" t="s">
        <v>23</v>
      </c>
    </row>
    <row r="71" spans="1:41" x14ac:dyDescent="0.2">
      <c r="A71" t="s">
        <v>0</v>
      </c>
      <c r="B71" t="s">
        <v>1</v>
      </c>
      <c r="C71" t="s">
        <v>2</v>
      </c>
      <c r="D71" t="s">
        <v>126</v>
      </c>
      <c r="E71" t="s">
        <v>127</v>
      </c>
      <c r="F71" t="s">
        <v>2</v>
      </c>
      <c r="G71" t="s">
        <v>6</v>
      </c>
      <c r="H71" t="s">
        <v>129</v>
      </c>
      <c r="I71" t="str">
        <f t="shared" si="2"/>
        <v>PXCBC-F63023GAE</v>
      </c>
      <c r="J71" t="s">
        <v>79</v>
      </c>
      <c r="K71" t="s">
        <v>80</v>
      </c>
      <c r="L71" s="2">
        <v>41.5</v>
      </c>
      <c r="M71" s="7">
        <v>63</v>
      </c>
      <c r="N71" s="3" t="str">
        <f t="shared" si="3"/>
        <v>GAE</v>
      </c>
      <c r="O71" t="s">
        <v>81</v>
      </c>
      <c r="P71" s="4">
        <v>46079</v>
      </c>
      <c r="Q71" t="s">
        <v>11</v>
      </c>
      <c r="R71" t="s">
        <v>2</v>
      </c>
      <c r="S71" t="s">
        <v>12</v>
      </c>
      <c r="T71" s="4">
        <v>46079</v>
      </c>
      <c r="U71" t="s">
        <v>13</v>
      </c>
      <c r="V71" t="s">
        <v>2</v>
      </c>
      <c r="W71" t="s">
        <v>14</v>
      </c>
      <c r="X71" t="s">
        <v>15</v>
      </c>
      <c r="Y71" t="s">
        <v>16</v>
      </c>
      <c r="Z71" t="s">
        <v>68</v>
      </c>
      <c r="AA71" t="s">
        <v>68</v>
      </c>
      <c r="AB71" t="s">
        <v>18</v>
      </c>
      <c r="AC71" t="s">
        <v>19</v>
      </c>
      <c r="AD71" t="s">
        <v>34</v>
      </c>
      <c r="AE71" t="s">
        <v>12</v>
      </c>
      <c r="AF71" t="s">
        <v>21</v>
      </c>
      <c r="AG71" s="5">
        <v>41.5</v>
      </c>
      <c r="AH71" s="2">
        <v>2614.5</v>
      </c>
      <c r="AI71" t="s">
        <v>22</v>
      </c>
      <c r="AJ71" s="4">
        <v>46079</v>
      </c>
      <c r="AK71" s="4">
        <v>46085</v>
      </c>
      <c r="AL71" s="4">
        <v>46079</v>
      </c>
      <c r="AM71" t="s">
        <v>2</v>
      </c>
      <c r="AN71" t="s">
        <v>2</v>
      </c>
      <c r="AO71" t="s">
        <v>23</v>
      </c>
    </row>
    <row r="72" spans="1:41" x14ac:dyDescent="0.2">
      <c r="A72" t="s">
        <v>0</v>
      </c>
      <c r="B72" t="s">
        <v>1</v>
      </c>
      <c r="C72" t="s">
        <v>2</v>
      </c>
      <c r="D72" t="s">
        <v>126</v>
      </c>
      <c r="E72" t="s">
        <v>127</v>
      </c>
      <c r="F72" t="s">
        <v>2</v>
      </c>
      <c r="G72" t="s">
        <v>6</v>
      </c>
      <c r="H72" t="s">
        <v>130</v>
      </c>
      <c r="I72" t="str">
        <f t="shared" si="2"/>
        <v>PXCBC-F67008LAW</v>
      </c>
      <c r="J72" t="s">
        <v>61</v>
      </c>
      <c r="K72" t="s">
        <v>32</v>
      </c>
      <c r="L72" s="2">
        <v>67.8</v>
      </c>
      <c r="M72" s="7">
        <v>48</v>
      </c>
      <c r="N72" s="3" t="str">
        <f t="shared" si="3"/>
        <v>LAW</v>
      </c>
      <c r="O72" t="s">
        <v>33</v>
      </c>
      <c r="P72" s="4">
        <v>46079</v>
      </c>
      <c r="Q72" t="s">
        <v>11</v>
      </c>
      <c r="R72" t="s">
        <v>2</v>
      </c>
      <c r="S72" t="s">
        <v>12</v>
      </c>
      <c r="T72" s="4">
        <v>46079</v>
      </c>
      <c r="U72" t="s">
        <v>13</v>
      </c>
      <c r="V72" t="s">
        <v>2</v>
      </c>
      <c r="W72" t="s">
        <v>14</v>
      </c>
      <c r="X72" t="s">
        <v>15</v>
      </c>
      <c r="Y72" t="s">
        <v>16</v>
      </c>
      <c r="Z72" t="s">
        <v>68</v>
      </c>
      <c r="AA72" t="s">
        <v>68</v>
      </c>
      <c r="AB72" t="s">
        <v>18</v>
      </c>
      <c r="AC72" t="s">
        <v>19</v>
      </c>
      <c r="AD72" t="s">
        <v>34</v>
      </c>
      <c r="AE72" t="s">
        <v>12</v>
      </c>
      <c r="AF72" t="s">
        <v>21</v>
      </c>
      <c r="AG72" s="5">
        <v>67.8</v>
      </c>
      <c r="AH72" s="2">
        <v>3254.4</v>
      </c>
      <c r="AI72" t="s">
        <v>22</v>
      </c>
      <c r="AJ72" s="4">
        <v>46079</v>
      </c>
      <c r="AK72" s="4">
        <v>46085</v>
      </c>
      <c r="AL72" s="4">
        <v>46079</v>
      </c>
      <c r="AM72" t="s">
        <v>2</v>
      </c>
      <c r="AN72" t="s">
        <v>2</v>
      </c>
      <c r="AO72" t="s">
        <v>23</v>
      </c>
    </row>
    <row r="73" spans="1:41" x14ac:dyDescent="0.2">
      <c r="A73" t="s">
        <v>0</v>
      </c>
      <c r="B73" t="s">
        <v>1</v>
      </c>
      <c r="C73" t="s">
        <v>2</v>
      </c>
      <c r="D73" t="s">
        <v>126</v>
      </c>
      <c r="E73" t="s">
        <v>127</v>
      </c>
      <c r="F73" t="s">
        <v>2</v>
      </c>
      <c r="G73" t="s">
        <v>6</v>
      </c>
      <c r="H73" t="s">
        <v>131</v>
      </c>
      <c r="I73" t="str">
        <f t="shared" si="2"/>
        <v>PXCBC-F67043KAN</v>
      </c>
      <c r="J73" t="s">
        <v>88</v>
      </c>
      <c r="K73" t="s">
        <v>37</v>
      </c>
      <c r="L73" s="2">
        <v>66.5</v>
      </c>
      <c r="M73" s="7">
        <v>41</v>
      </c>
      <c r="N73" s="3" t="str">
        <f t="shared" si="3"/>
        <v>KAN</v>
      </c>
      <c r="O73" t="s">
        <v>62</v>
      </c>
      <c r="P73" s="4">
        <v>46079</v>
      </c>
      <c r="Q73" t="s">
        <v>11</v>
      </c>
      <c r="R73" t="s">
        <v>2</v>
      </c>
      <c r="S73" t="s">
        <v>12</v>
      </c>
      <c r="T73" s="4">
        <v>46079</v>
      </c>
      <c r="U73" t="s">
        <v>13</v>
      </c>
      <c r="V73" t="s">
        <v>2</v>
      </c>
      <c r="W73" t="s">
        <v>14</v>
      </c>
      <c r="X73" t="s">
        <v>15</v>
      </c>
      <c r="Y73" t="s">
        <v>16</v>
      </c>
      <c r="Z73" t="s">
        <v>68</v>
      </c>
      <c r="AA73" t="s">
        <v>68</v>
      </c>
      <c r="AB73" t="s">
        <v>18</v>
      </c>
      <c r="AC73" t="s">
        <v>19</v>
      </c>
      <c r="AD73" t="s">
        <v>34</v>
      </c>
      <c r="AE73" t="s">
        <v>12</v>
      </c>
      <c r="AF73" t="s">
        <v>21</v>
      </c>
      <c r="AG73" s="5">
        <v>66.5</v>
      </c>
      <c r="AH73" s="2">
        <v>2726.5</v>
      </c>
      <c r="AI73" t="s">
        <v>22</v>
      </c>
      <c r="AJ73" s="4">
        <v>46079</v>
      </c>
      <c r="AK73" s="4">
        <v>46085</v>
      </c>
      <c r="AL73" s="4">
        <v>46079</v>
      </c>
      <c r="AM73" t="s">
        <v>2</v>
      </c>
      <c r="AN73" t="s">
        <v>2</v>
      </c>
      <c r="AO73" t="s">
        <v>23</v>
      </c>
    </row>
    <row r="74" spans="1:41" x14ac:dyDescent="0.2">
      <c r="A74" t="s">
        <v>0</v>
      </c>
      <c r="B74" t="s">
        <v>1</v>
      </c>
      <c r="C74" t="s">
        <v>2</v>
      </c>
      <c r="D74" t="s">
        <v>126</v>
      </c>
      <c r="E74" t="s">
        <v>127</v>
      </c>
      <c r="F74" t="s">
        <v>2</v>
      </c>
      <c r="G74" t="s">
        <v>6</v>
      </c>
      <c r="H74" t="s">
        <v>131</v>
      </c>
      <c r="I74" t="str">
        <f t="shared" si="2"/>
        <v>PXCBC-F67043CAW</v>
      </c>
      <c r="J74" t="s">
        <v>88</v>
      </c>
      <c r="K74" t="s">
        <v>37</v>
      </c>
      <c r="L74" s="2">
        <v>66.5</v>
      </c>
      <c r="M74" s="7">
        <v>23</v>
      </c>
      <c r="N74" s="3" t="str">
        <f t="shared" si="3"/>
        <v>CAW</v>
      </c>
      <c r="O74" t="s">
        <v>63</v>
      </c>
      <c r="P74" s="4">
        <v>46079</v>
      </c>
      <c r="Q74" t="s">
        <v>11</v>
      </c>
      <c r="R74" t="s">
        <v>2</v>
      </c>
      <c r="S74" t="s">
        <v>12</v>
      </c>
      <c r="T74" s="4">
        <v>46079</v>
      </c>
      <c r="U74" t="s">
        <v>13</v>
      </c>
      <c r="V74" t="s">
        <v>2</v>
      </c>
      <c r="W74" t="s">
        <v>14</v>
      </c>
      <c r="X74" t="s">
        <v>15</v>
      </c>
      <c r="Y74" t="s">
        <v>16</v>
      </c>
      <c r="Z74" t="s">
        <v>68</v>
      </c>
      <c r="AA74" t="s">
        <v>68</v>
      </c>
      <c r="AB74" t="s">
        <v>18</v>
      </c>
      <c r="AC74" t="s">
        <v>19</v>
      </c>
      <c r="AD74" t="s">
        <v>34</v>
      </c>
      <c r="AE74" t="s">
        <v>26</v>
      </c>
      <c r="AF74" t="s">
        <v>21</v>
      </c>
      <c r="AG74" s="5">
        <v>66.5</v>
      </c>
      <c r="AH74" s="2">
        <v>1529.5</v>
      </c>
      <c r="AI74" t="s">
        <v>22</v>
      </c>
      <c r="AJ74" s="4">
        <v>46079</v>
      </c>
      <c r="AK74" s="4">
        <v>46085</v>
      </c>
      <c r="AL74" s="4">
        <v>46079</v>
      </c>
      <c r="AM74" t="s">
        <v>2</v>
      </c>
      <c r="AN74" t="s">
        <v>2</v>
      </c>
      <c r="AO74" t="s">
        <v>23</v>
      </c>
    </row>
    <row r="75" spans="1:41" x14ac:dyDescent="0.2">
      <c r="A75" t="s">
        <v>0</v>
      </c>
      <c r="B75" t="s">
        <v>1</v>
      </c>
      <c r="C75" t="s">
        <v>2</v>
      </c>
      <c r="D75" t="s">
        <v>126</v>
      </c>
      <c r="E75" t="s">
        <v>127</v>
      </c>
      <c r="F75" t="s">
        <v>2</v>
      </c>
      <c r="G75" t="s">
        <v>6</v>
      </c>
      <c r="H75" t="s">
        <v>131</v>
      </c>
      <c r="I75" t="str">
        <f t="shared" si="2"/>
        <v>PXCBC-F63023LAW</v>
      </c>
      <c r="J75" t="s">
        <v>79</v>
      </c>
      <c r="K75" t="s">
        <v>80</v>
      </c>
      <c r="L75" s="2">
        <v>41.5</v>
      </c>
      <c r="M75" s="7">
        <v>20</v>
      </c>
      <c r="N75" s="3" t="str">
        <f t="shared" si="3"/>
        <v>LAW</v>
      </c>
      <c r="O75" t="s">
        <v>33</v>
      </c>
      <c r="P75" s="4">
        <v>46202</v>
      </c>
      <c r="Q75" t="s">
        <v>11</v>
      </c>
      <c r="R75" t="s">
        <v>2</v>
      </c>
      <c r="S75" t="s">
        <v>12</v>
      </c>
      <c r="T75" s="4">
        <v>46079</v>
      </c>
      <c r="U75" t="s">
        <v>13</v>
      </c>
      <c r="V75" t="s">
        <v>2</v>
      </c>
      <c r="W75" t="s">
        <v>14</v>
      </c>
      <c r="X75" t="s">
        <v>15</v>
      </c>
      <c r="Y75" t="s">
        <v>16</v>
      </c>
      <c r="Z75" t="s">
        <v>68</v>
      </c>
      <c r="AA75" t="s">
        <v>68</v>
      </c>
      <c r="AB75" t="s">
        <v>18</v>
      </c>
      <c r="AC75" t="s">
        <v>84</v>
      </c>
      <c r="AD75" t="s">
        <v>34</v>
      </c>
      <c r="AE75" t="s">
        <v>12</v>
      </c>
      <c r="AF75" t="s">
        <v>21</v>
      </c>
      <c r="AG75" s="5">
        <v>41.5</v>
      </c>
      <c r="AH75" s="2">
        <v>830</v>
      </c>
      <c r="AI75" t="s">
        <v>22</v>
      </c>
      <c r="AJ75" s="4">
        <v>46202</v>
      </c>
      <c r="AK75" s="4">
        <v>46206</v>
      </c>
      <c r="AL75" s="4">
        <v>46080</v>
      </c>
      <c r="AM75" t="s">
        <v>2</v>
      </c>
      <c r="AN75" t="s">
        <v>2</v>
      </c>
      <c r="AO75" t="s">
        <v>23</v>
      </c>
    </row>
    <row r="76" spans="1:41" x14ac:dyDescent="0.2">
      <c r="A76" t="s">
        <v>0</v>
      </c>
      <c r="B76" t="s">
        <v>1</v>
      </c>
      <c r="C76" t="s">
        <v>2</v>
      </c>
      <c r="D76" t="s">
        <v>126</v>
      </c>
      <c r="E76" t="s">
        <v>127</v>
      </c>
      <c r="F76" t="s">
        <v>2</v>
      </c>
      <c r="G76" t="s">
        <v>6</v>
      </c>
      <c r="H76" t="s">
        <v>131</v>
      </c>
      <c r="I76" t="str">
        <f t="shared" si="2"/>
        <v>PXCBC-F63024LZZ</v>
      </c>
      <c r="J76" t="s">
        <v>85</v>
      </c>
      <c r="K76" t="s">
        <v>86</v>
      </c>
      <c r="L76" s="2">
        <v>28.8</v>
      </c>
      <c r="M76" s="7">
        <v>30</v>
      </c>
      <c r="N76" s="3" t="str">
        <f t="shared" si="3"/>
        <v>LZZ</v>
      </c>
      <c r="O76" t="s">
        <v>83</v>
      </c>
      <c r="P76" s="4">
        <v>46202</v>
      </c>
      <c r="Q76" t="s">
        <v>11</v>
      </c>
      <c r="R76" t="s">
        <v>2</v>
      </c>
      <c r="S76" t="s">
        <v>12</v>
      </c>
      <c r="T76" s="4">
        <v>46079</v>
      </c>
      <c r="U76" t="s">
        <v>13</v>
      </c>
      <c r="V76" t="s">
        <v>2</v>
      </c>
      <c r="W76" t="s">
        <v>14</v>
      </c>
      <c r="X76" t="s">
        <v>15</v>
      </c>
      <c r="Y76" t="s">
        <v>16</v>
      </c>
      <c r="Z76" t="s">
        <v>68</v>
      </c>
      <c r="AA76" t="s">
        <v>68</v>
      </c>
      <c r="AB76" t="s">
        <v>18</v>
      </c>
      <c r="AC76" t="s">
        <v>87</v>
      </c>
      <c r="AD76" t="s">
        <v>34</v>
      </c>
      <c r="AE76" t="s">
        <v>12</v>
      </c>
      <c r="AF76" t="s">
        <v>21</v>
      </c>
      <c r="AG76" s="5">
        <v>28.8</v>
      </c>
      <c r="AH76" s="2">
        <v>864</v>
      </c>
      <c r="AI76" t="s">
        <v>22</v>
      </c>
      <c r="AJ76" s="4">
        <v>46202</v>
      </c>
      <c r="AK76" s="4">
        <v>46206</v>
      </c>
      <c r="AL76" s="4">
        <v>46080</v>
      </c>
      <c r="AM76" t="s">
        <v>2</v>
      </c>
      <c r="AN76" t="s">
        <v>2</v>
      </c>
      <c r="AO76" t="s">
        <v>23</v>
      </c>
    </row>
    <row r="77" spans="1:41" x14ac:dyDescent="0.2">
      <c r="A77" t="s">
        <v>0</v>
      </c>
      <c r="B77" t="s">
        <v>1</v>
      </c>
      <c r="C77" t="s">
        <v>2</v>
      </c>
      <c r="D77" t="s">
        <v>126</v>
      </c>
      <c r="E77" t="s">
        <v>127</v>
      </c>
      <c r="F77" t="s">
        <v>2</v>
      </c>
      <c r="G77" t="s">
        <v>6</v>
      </c>
      <c r="H77" t="s">
        <v>132</v>
      </c>
      <c r="I77" t="str">
        <f t="shared" si="2"/>
        <v>PXCBC-F67043GAE</v>
      </c>
      <c r="J77" t="s">
        <v>88</v>
      </c>
      <c r="K77" t="s">
        <v>37</v>
      </c>
      <c r="L77" s="2">
        <v>66.5</v>
      </c>
      <c r="M77" s="7">
        <v>92</v>
      </c>
      <c r="N77" s="3" t="str">
        <f t="shared" si="3"/>
        <v>GAE</v>
      </c>
      <c r="O77" t="s">
        <v>81</v>
      </c>
      <c r="P77" s="4">
        <v>46079</v>
      </c>
      <c r="Q77" t="s">
        <v>11</v>
      </c>
      <c r="R77" t="s">
        <v>2</v>
      </c>
      <c r="S77" t="s">
        <v>12</v>
      </c>
      <c r="T77" s="4">
        <v>46079</v>
      </c>
      <c r="U77" t="s">
        <v>13</v>
      </c>
      <c r="V77" t="s">
        <v>2</v>
      </c>
      <c r="W77" t="s">
        <v>14</v>
      </c>
      <c r="X77" t="s">
        <v>15</v>
      </c>
      <c r="Y77" t="s">
        <v>16</v>
      </c>
      <c r="Z77" t="s">
        <v>68</v>
      </c>
      <c r="AA77" t="s">
        <v>68</v>
      </c>
      <c r="AB77" t="s">
        <v>18</v>
      </c>
      <c r="AC77" t="s">
        <v>19</v>
      </c>
      <c r="AD77" t="s">
        <v>34</v>
      </c>
      <c r="AE77" t="s">
        <v>12</v>
      </c>
      <c r="AF77" t="s">
        <v>21</v>
      </c>
      <c r="AG77" s="5">
        <v>66.5</v>
      </c>
      <c r="AH77" s="2">
        <v>6118</v>
      </c>
      <c r="AI77" t="s">
        <v>22</v>
      </c>
      <c r="AJ77" s="4">
        <v>46079</v>
      </c>
      <c r="AK77" s="4">
        <v>46085</v>
      </c>
      <c r="AL77" s="4">
        <v>46079</v>
      </c>
      <c r="AM77" t="s">
        <v>2</v>
      </c>
      <c r="AN77" t="s">
        <v>2</v>
      </c>
      <c r="AO77" t="s">
        <v>23</v>
      </c>
    </row>
    <row r="78" spans="1:41" x14ac:dyDescent="0.2">
      <c r="A78" t="s">
        <v>0</v>
      </c>
      <c r="B78" t="s">
        <v>1</v>
      </c>
      <c r="C78" t="s">
        <v>2</v>
      </c>
      <c r="D78" t="s">
        <v>126</v>
      </c>
      <c r="E78" t="s">
        <v>127</v>
      </c>
      <c r="F78" t="s">
        <v>2</v>
      </c>
      <c r="G78" t="s">
        <v>6</v>
      </c>
      <c r="H78" t="s">
        <v>133</v>
      </c>
      <c r="I78" t="str">
        <f t="shared" si="2"/>
        <v>PXCBS-F67066LZZ</v>
      </c>
      <c r="J78" t="s">
        <v>134</v>
      </c>
      <c r="K78" t="s">
        <v>135</v>
      </c>
      <c r="L78" s="2">
        <v>108</v>
      </c>
      <c r="M78" s="7">
        <v>1</v>
      </c>
      <c r="N78" s="3" t="str">
        <f t="shared" si="3"/>
        <v>LZZ</v>
      </c>
      <c r="O78" t="s">
        <v>83</v>
      </c>
      <c r="P78" s="4">
        <v>46079</v>
      </c>
      <c r="Q78" t="s">
        <v>11</v>
      </c>
      <c r="R78" t="s">
        <v>2</v>
      </c>
      <c r="S78" t="s">
        <v>12</v>
      </c>
      <c r="T78" s="4">
        <v>46079</v>
      </c>
      <c r="U78" t="s">
        <v>13</v>
      </c>
      <c r="V78" t="s">
        <v>2</v>
      </c>
      <c r="W78" t="s">
        <v>14</v>
      </c>
      <c r="X78" t="s">
        <v>15</v>
      </c>
      <c r="Y78" t="s">
        <v>16</v>
      </c>
      <c r="Z78" t="s">
        <v>68</v>
      </c>
      <c r="AA78" t="s">
        <v>68</v>
      </c>
      <c r="AB78" t="s">
        <v>18</v>
      </c>
      <c r="AC78" t="s">
        <v>19</v>
      </c>
      <c r="AD78" t="s">
        <v>34</v>
      </c>
      <c r="AE78" t="s">
        <v>26</v>
      </c>
      <c r="AF78" t="s">
        <v>21</v>
      </c>
      <c r="AG78" s="5">
        <v>108</v>
      </c>
      <c r="AH78" s="2">
        <v>108</v>
      </c>
      <c r="AI78" t="s">
        <v>22</v>
      </c>
      <c r="AJ78" s="4">
        <v>46079</v>
      </c>
      <c r="AK78" s="4">
        <v>46085</v>
      </c>
      <c r="AL78" s="4">
        <v>46079</v>
      </c>
      <c r="AM78" t="s">
        <v>2</v>
      </c>
      <c r="AN78" t="s">
        <v>2</v>
      </c>
      <c r="AO78" t="s">
        <v>23</v>
      </c>
    </row>
    <row r="79" spans="1:41" x14ac:dyDescent="0.2">
      <c r="A79" t="s">
        <v>0</v>
      </c>
      <c r="B79" t="s">
        <v>1</v>
      </c>
      <c r="C79" t="s">
        <v>2</v>
      </c>
      <c r="D79" t="s">
        <v>126</v>
      </c>
      <c r="E79" t="s">
        <v>127</v>
      </c>
      <c r="F79" t="s">
        <v>2</v>
      </c>
      <c r="G79" t="s">
        <v>6</v>
      </c>
      <c r="H79" t="s">
        <v>133</v>
      </c>
      <c r="I79" t="str">
        <f t="shared" si="2"/>
        <v>PXCBS-F67066GAU</v>
      </c>
      <c r="J79" t="s">
        <v>134</v>
      </c>
      <c r="K79" t="s">
        <v>135</v>
      </c>
      <c r="L79" s="2">
        <v>108</v>
      </c>
      <c r="M79" s="7">
        <v>28</v>
      </c>
      <c r="N79" s="3" t="str">
        <f t="shared" si="3"/>
        <v>GAU</v>
      </c>
      <c r="O79" t="s">
        <v>94</v>
      </c>
      <c r="P79" s="4">
        <v>46079</v>
      </c>
      <c r="Q79" t="s">
        <v>11</v>
      </c>
      <c r="R79" t="s">
        <v>2</v>
      </c>
      <c r="S79" t="s">
        <v>12</v>
      </c>
      <c r="T79" s="4">
        <v>46079</v>
      </c>
      <c r="U79" t="s">
        <v>13</v>
      </c>
      <c r="V79" t="s">
        <v>2</v>
      </c>
      <c r="W79" t="s">
        <v>14</v>
      </c>
      <c r="X79" t="s">
        <v>15</v>
      </c>
      <c r="Y79" t="s">
        <v>16</v>
      </c>
      <c r="Z79" t="s">
        <v>68</v>
      </c>
      <c r="AA79" t="s">
        <v>68</v>
      </c>
      <c r="AB79" t="s">
        <v>18</v>
      </c>
      <c r="AC79" t="s">
        <v>19</v>
      </c>
      <c r="AD79" t="s">
        <v>34</v>
      </c>
      <c r="AE79" t="s">
        <v>12</v>
      </c>
      <c r="AF79" t="s">
        <v>21</v>
      </c>
      <c r="AG79" s="5">
        <v>108</v>
      </c>
      <c r="AH79" s="2">
        <v>3024</v>
      </c>
      <c r="AI79" t="s">
        <v>22</v>
      </c>
      <c r="AJ79" s="4">
        <v>46079</v>
      </c>
      <c r="AK79" s="4">
        <v>46085</v>
      </c>
      <c r="AL79" s="4">
        <v>46079</v>
      </c>
      <c r="AM79" t="s">
        <v>2</v>
      </c>
      <c r="AN79" t="s">
        <v>2</v>
      </c>
      <c r="AO79" t="s">
        <v>23</v>
      </c>
    </row>
    <row r="80" spans="1:41" x14ac:dyDescent="0.2">
      <c r="A80" t="s">
        <v>0</v>
      </c>
      <c r="B80" t="s">
        <v>1</v>
      </c>
      <c r="C80" t="s">
        <v>2</v>
      </c>
      <c r="D80" t="s">
        <v>126</v>
      </c>
      <c r="E80" t="s">
        <v>127</v>
      </c>
      <c r="F80" t="s">
        <v>2</v>
      </c>
      <c r="G80" t="s">
        <v>6</v>
      </c>
      <c r="H80" t="s">
        <v>136</v>
      </c>
      <c r="I80" t="str">
        <f t="shared" si="2"/>
        <v>PXCBS-F67080GAU</v>
      </c>
      <c r="J80" t="s">
        <v>92</v>
      </c>
      <c r="K80" t="s">
        <v>93</v>
      </c>
      <c r="L80" s="2">
        <v>79</v>
      </c>
      <c r="M80" s="7">
        <v>2</v>
      </c>
      <c r="N80" s="3" t="str">
        <f t="shared" si="3"/>
        <v>GAU</v>
      </c>
      <c r="O80" t="s">
        <v>94</v>
      </c>
      <c r="P80" s="4">
        <v>46079</v>
      </c>
      <c r="Q80" t="s">
        <v>11</v>
      </c>
      <c r="R80" t="s">
        <v>2</v>
      </c>
      <c r="S80" t="s">
        <v>12</v>
      </c>
      <c r="T80" s="4">
        <v>46079</v>
      </c>
      <c r="U80" t="s">
        <v>13</v>
      </c>
      <c r="V80" t="s">
        <v>2</v>
      </c>
      <c r="W80" t="s">
        <v>14</v>
      </c>
      <c r="X80" t="s">
        <v>15</v>
      </c>
      <c r="Y80" t="s">
        <v>16</v>
      </c>
      <c r="Z80" t="s">
        <v>68</v>
      </c>
      <c r="AA80" t="s">
        <v>68</v>
      </c>
      <c r="AB80" t="s">
        <v>18</v>
      </c>
      <c r="AC80" t="s">
        <v>19</v>
      </c>
      <c r="AD80" t="s">
        <v>34</v>
      </c>
      <c r="AE80" t="s">
        <v>12</v>
      </c>
      <c r="AF80" t="s">
        <v>21</v>
      </c>
      <c r="AG80" s="5">
        <v>79</v>
      </c>
      <c r="AH80" s="2">
        <v>158</v>
      </c>
      <c r="AI80" t="s">
        <v>22</v>
      </c>
      <c r="AJ80" s="4">
        <v>46079</v>
      </c>
      <c r="AK80" s="4">
        <v>46085</v>
      </c>
      <c r="AL80" s="4">
        <v>46079</v>
      </c>
      <c r="AM80" t="s">
        <v>2</v>
      </c>
      <c r="AN80" t="s">
        <v>2</v>
      </c>
      <c r="AO80" t="s">
        <v>23</v>
      </c>
    </row>
    <row r="81" spans="1:41" x14ac:dyDescent="0.2">
      <c r="A81" t="s">
        <v>0</v>
      </c>
      <c r="B81" t="s">
        <v>1</v>
      </c>
      <c r="C81" t="s">
        <v>2</v>
      </c>
      <c r="D81" t="s">
        <v>126</v>
      </c>
      <c r="E81" t="s">
        <v>127</v>
      </c>
      <c r="F81" t="s">
        <v>2</v>
      </c>
      <c r="G81" t="s">
        <v>6</v>
      </c>
      <c r="H81" t="s">
        <v>137</v>
      </c>
      <c r="I81" t="str">
        <f t="shared" si="2"/>
        <v>PXCBS-F67080GAU</v>
      </c>
      <c r="J81" t="s">
        <v>92</v>
      </c>
      <c r="K81" t="s">
        <v>93</v>
      </c>
      <c r="L81" s="2">
        <v>79</v>
      </c>
      <c r="M81" s="7">
        <v>65</v>
      </c>
      <c r="N81" s="3" t="str">
        <f t="shared" si="3"/>
        <v>GAU</v>
      </c>
      <c r="O81" t="s">
        <v>94</v>
      </c>
      <c r="P81" s="4">
        <v>46079</v>
      </c>
      <c r="Q81" t="s">
        <v>11</v>
      </c>
      <c r="R81" t="s">
        <v>2</v>
      </c>
      <c r="S81" t="s">
        <v>12</v>
      </c>
      <c r="T81" s="4">
        <v>46079</v>
      </c>
      <c r="U81" t="s">
        <v>13</v>
      </c>
      <c r="V81" t="s">
        <v>2</v>
      </c>
      <c r="W81" t="s">
        <v>14</v>
      </c>
      <c r="X81" t="s">
        <v>15</v>
      </c>
      <c r="Y81" t="s">
        <v>16</v>
      </c>
      <c r="Z81" t="s">
        <v>68</v>
      </c>
      <c r="AA81" t="s">
        <v>68</v>
      </c>
      <c r="AB81" t="s">
        <v>18</v>
      </c>
      <c r="AC81" t="s">
        <v>19</v>
      </c>
      <c r="AD81" t="s">
        <v>34</v>
      </c>
      <c r="AE81" t="s">
        <v>12</v>
      </c>
      <c r="AF81" t="s">
        <v>21</v>
      </c>
      <c r="AG81" s="5">
        <v>79</v>
      </c>
      <c r="AH81" s="2">
        <v>5135</v>
      </c>
      <c r="AI81" t="s">
        <v>22</v>
      </c>
      <c r="AJ81" s="4">
        <v>46079</v>
      </c>
      <c r="AK81" s="4">
        <v>46085</v>
      </c>
      <c r="AL81" s="4">
        <v>46079</v>
      </c>
      <c r="AM81" t="s">
        <v>2</v>
      </c>
      <c r="AN81" t="s">
        <v>2</v>
      </c>
      <c r="AO81" t="s">
        <v>23</v>
      </c>
    </row>
    <row r="82" spans="1:41" x14ac:dyDescent="0.2">
      <c r="A82" t="s">
        <v>0</v>
      </c>
      <c r="B82" t="s">
        <v>1</v>
      </c>
      <c r="C82" t="s">
        <v>2</v>
      </c>
      <c r="D82" t="s">
        <v>126</v>
      </c>
      <c r="E82" t="s">
        <v>127</v>
      </c>
      <c r="F82" t="s">
        <v>2</v>
      </c>
      <c r="G82" t="s">
        <v>6</v>
      </c>
      <c r="H82" t="s">
        <v>138</v>
      </c>
      <c r="I82" t="str">
        <f t="shared" si="2"/>
        <v>PXCBT-F65101KBE</v>
      </c>
      <c r="J82" t="s">
        <v>53</v>
      </c>
      <c r="K82" t="s">
        <v>44</v>
      </c>
      <c r="L82" s="2">
        <v>22.3</v>
      </c>
      <c r="M82" s="7">
        <v>32</v>
      </c>
      <c r="N82" s="3" t="str">
        <f t="shared" si="3"/>
        <v>KBE</v>
      </c>
      <c r="O82" t="s">
        <v>54</v>
      </c>
      <c r="P82" s="4">
        <v>46079</v>
      </c>
      <c r="Q82" t="s">
        <v>11</v>
      </c>
      <c r="R82" t="s">
        <v>2</v>
      </c>
      <c r="S82" t="s">
        <v>12</v>
      </c>
      <c r="T82" s="4">
        <v>46079</v>
      </c>
      <c r="U82" t="s">
        <v>13</v>
      </c>
      <c r="V82" t="s">
        <v>2</v>
      </c>
      <c r="W82" t="s">
        <v>14</v>
      </c>
      <c r="X82" t="s">
        <v>15</v>
      </c>
      <c r="Y82" t="s">
        <v>16</v>
      </c>
      <c r="Z82" t="s">
        <v>68</v>
      </c>
      <c r="AA82" t="s">
        <v>68</v>
      </c>
      <c r="AB82" t="s">
        <v>18</v>
      </c>
      <c r="AC82" t="s">
        <v>19</v>
      </c>
      <c r="AD82" t="s">
        <v>25</v>
      </c>
      <c r="AE82" t="s">
        <v>12</v>
      </c>
      <c r="AF82" t="s">
        <v>21</v>
      </c>
      <c r="AG82" s="5">
        <v>22.3</v>
      </c>
      <c r="AH82" s="2">
        <v>713.6</v>
      </c>
      <c r="AI82" t="s">
        <v>22</v>
      </c>
      <c r="AJ82" s="4">
        <v>46079</v>
      </c>
      <c r="AK82" s="4">
        <v>46085</v>
      </c>
      <c r="AL82" s="4">
        <v>46079</v>
      </c>
      <c r="AM82" t="s">
        <v>2</v>
      </c>
      <c r="AN82" t="s">
        <v>2</v>
      </c>
      <c r="AO82" t="s">
        <v>23</v>
      </c>
    </row>
    <row r="83" spans="1:41" x14ac:dyDescent="0.2">
      <c r="A83" t="s">
        <v>0</v>
      </c>
      <c r="B83" t="s">
        <v>1</v>
      </c>
      <c r="C83" t="s">
        <v>2</v>
      </c>
      <c r="D83" t="s">
        <v>126</v>
      </c>
      <c r="E83" t="s">
        <v>127</v>
      </c>
      <c r="F83" t="s">
        <v>2</v>
      </c>
      <c r="G83" t="s">
        <v>6</v>
      </c>
      <c r="H83" t="s">
        <v>138</v>
      </c>
      <c r="I83" t="str">
        <f t="shared" si="2"/>
        <v>PXCBT-F65101KBE</v>
      </c>
      <c r="J83" t="s">
        <v>53</v>
      </c>
      <c r="K83" t="s">
        <v>44</v>
      </c>
      <c r="L83" s="2">
        <v>22.3</v>
      </c>
      <c r="M83" s="7">
        <v>32</v>
      </c>
      <c r="N83" s="3" t="str">
        <f t="shared" si="3"/>
        <v>KBE</v>
      </c>
      <c r="O83" t="s">
        <v>55</v>
      </c>
      <c r="P83" s="4">
        <v>46079</v>
      </c>
      <c r="Q83" t="s">
        <v>11</v>
      </c>
      <c r="R83" t="s">
        <v>2</v>
      </c>
      <c r="S83" t="s">
        <v>12</v>
      </c>
      <c r="T83" s="4">
        <v>46079</v>
      </c>
      <c r="U83" t="s">
        <v>13</v>
      </c>
      <c r="V83" t="s">
        <v>2</v>
      </c>
      <c r="W83" t="s">
        <v>14</v>
      </c>
      <c r="X83" t="s">
        <v>15</v>
      </c>
      <c r="Y83" t="s">
        <v>16</v>
      </c>
      <c r="Z83" t="s">
        <v>68</v>
      </c>
      <c r="AA83" t="s">
        <v>68</v>
      </c>
      <c r="AB83" t="s">
        <v>18</v>
      </c>
      <c r="AC83" t="s">
        <v>19</v>
      </c>
      <c r="AD83" t="s">
        <v>47</v>
      </c>
      <c r="AE83" t="s">
        <v>26</v>
      </c>
      <c r="AF83" t="s">
        <v>21</v>
      </c>
      <c r="AG83" s="5">
        <v>22.3</v>
      </c>
      <c r="AH83" s="2">
        <v>713.6</v>
      </c>
      <c r="AI83" t="s">
        <v>22</v>
      </c>
      <c r="AJ83" s="4">
        <v>46079</v>
      </c>
      <c r="AK83" s="4">
        <v>46085</v>
      </c>
      <c r="AL83" s="4">
        <v>46079</v>
      </c>
      <c r="AM83" t="s">
        <v>2</v>
      </c>
      <c r="AN83" t="s">
        <v>2</v>
      </c>
      <c r="AO83" t="s">
        <v>23</v>
      </c>
    </row>
    <row r="84" spans="1:41" x14ac:dyDescent="0.2">
      <c r="A84" t="s">
        <v>0</v>
      </c>
      <c r="B84" t="s">
        <v>1</v>
      </c>
      <c r="C84" t="s">
        <v>2</v>
      </c>
      <c r="D84" t="s">
        <v>126</v>
      </c>
      <c r="E84" t="s">
        <v>127</v>
      </c>
      <c r="F84" t="s">
        <v>2</v>
      </c>
      <c r="G84" t="s">
        <v>6</v>
      </c>
      <c r="H84" t="s">
        <v>138</v>
      </c>
      <c r="I84" t="str">
        <f t="shared" si="2"/>
        <v>PXCBT-F65101KBE</v>
      </c>
      <c r="J84" t="s">
        <v>53</v>
      </c>
      <c r="K84" t="s">
        <v>44</v>
      </c>
      <c r="L84" s="2">
        <v>22.3</v>
      </c>
      <c r="M84" s="7">
        <v>32</v>
      </c>
      <c r="N84" s="3" t="str">
        <f t="shared" si="3"/>
        <v>KBE</v>
      </c>
      <c r="O84" t="s">
        <v>56</v>
      </c>
      <c r="P84" s="4">
        <v>46079</v>
      </c>
      <c r="Q84" t="s">
        <v>11</v>
      </c>
      <c r="R84" t="s">
        <v>2</v>
      </c>
      <c r="S84" t="s">
        <v>12</v>
      </c>
      <c r="T84" s="4">
        <v>46079</v>
      </c>
      <c r="U84" t="s">
        <v>13</v>
      </c>
      <c r="V84" t="s">
        <v>2</v>
      </c>
      <c r="W84" t="s">
        <v>14</v>
      </c>
      <c r="X84" t="s">
        <v>15</v>
      </c>
      <c r="Y84" t="s">
        <v>16</v>
      </c>
      <c r="Z84" t="s">
        <v>68</v>
      </c>
      <c r="AA84" t="s">
        <v>68</v>
      </c>
      <c r="AB84" t="s">
        <v>18</v>
      </c>
      <c r="AC84" t="s">
        <v>19</v>
      </c>
      <c r="AD84" t="s">
        <v>49</v>
      </c>
      <c r="AE84" t="s">
        <v>29</v>
      </c>
      <c r="AF84" t="s">
        <v>21</v>
      </c>
      <c r="AG84" s="5">
        <v>22.3</v>
      </c>
      <c r="AH84" s="2">
        <v>713.6</v>
      </c>
      <c r="AI84" t="s">
        <v>22</v>
      </c>
      <c r="AJ84" s="4">
        <v>46079</v>
      </c>
      <c r="AK84" s="4">
        <v>46085</v>
      </c>
      <c r="AL84" s="4">
        <v>46079</v>
      </c>
      <c r="AM84" t="s">
        <v>2</v>
      </c>
      <c r="AN84" t="s">
        <v>2</v>
      </c>
      <c r="AO84" t="s">
        <v>23</v>
      </c>
    </row>
    <row r="85" spans="1:41" x14ac:dyDescent="0.2">
      <c r="A85" t="s">
        <v>0</v>
      </c>
      <c r="B85" t="s">
        <v>1</v>
      </c>
      <c r="C85" t="s">
        <v>2</v>
      </c>
      <c r="D85" t="s">
        <v>126</v>
      </c>
      <c r="E85" t="s">
        <v>127</v>
      </c>
      <c r="F85" t="s">
        <v>2</v>
      </c>
      <c r="G85" t="s">
        <v>6</v>
      </c>
      <c r="H85" t="s">
        <v>138</v>
      </c>
      <c r="I85" t="str">
        <f t="shared" si="2"/>
        <v>PXCBT-F65101KBE</v>
      </c>
      <c r="J85" t="s">
        <v>53</v>
      </c>
      <c r="K85" t="s">
        <v>44</v>
      </c>
      <c r="L85" s="2">
        <v>22.3</v>
      </c>
      <c r="M85" s="7">
        <v>32</v>
      </c>
      <c r="N85" s="3" t="str">
        <f t="shared" si="3"/>
        <v>KBE</v>
      </c>
      <c r="O85" t="s">
        <v>57</v>
      </c>
      <c r="P85" s="4">
        <v>46079</v>
      </c>
      <c r="Q85" t="s">
        <v>11</v>
      </c>
      <c r="R85" t="s">
        <v>2</v>
      </c>
      <c r="S85" t="s">
        <v>12</v>
      </c>
      <c r="T85" s="4">
        <v>46079</v>
      </c>
      <c r="U85" t="s">
        <v>13</v>
      </c>
      <c r="V85" t="s">
        <v>2</v>
      </c>
      <c r="W85" t="s">
        <v>14</v>
      </c>
      <c r="X85" t="s">
        <v>15</v>
      </c>
      <c r="Y85" t="s">
        <v>16</v>
      </c>
      <c r="Z85" t="s">
        <v>68</v>
      </c>
      <c r="AA85" t="s">
        <v>68</v>
      </c>
      <c r="AB85" t="s">
        <v>18</v>
      </c>
      <c r="AC85" t="s">
        <v>19</v>
      </c>
      <c r="AD85" t="s">
        <v>51</v>
      </c>
      <c r="AE85" t="s">
        <v>45</v>
      </c>
      <c r="AF85" t="s">
        <v>21</v>
      </c>
      <c r="AG85" s="5">
        <v>22.3</v>
      </c>
      <c r="AH85" s="2">
        <v>713.6</v>
      </c>
      <c r="AI85" t="s">
        <v>22</v>
      </c>
      <c r="AJ85" s="4">
        <v>46079</v>
      </c>
      <c r="AK85" s="4">
        <v>46085</v>
      </c>
      <c r="AL85" s="4">
        <v>46079</v>
      </c>
      <c r="AM85" t="s">
        <v>2</v>
      </c>
      <c r="AN85" t="s">
        <v>2</v>
      </c>
      <c r="AO85" t="s">
        <v>23</v>
      </c>
    </row>
    <row r="86" spans="1:41" x14ac:dyDescent="0.2">
      <c r="A86" t="s">
        <v>0</v>
      </c>
      <c r="B86" t="s">
        <v>1</v>
      </c>
      <c r="C86" t="s">
        <v>2</v>
      </c>
      <c r="D86" t="s">
        <v>126</v>
      </c>
      <c r="E86" t="s">
        <v>127</v>
      </c>
      <c r="F86" t="s">
        <v>2</v>
      </c>
      <c r="G86" t="s">
        <v>6</v>
      </c>
      <c r="H86" t="s">
        <v>139</v>
      </c>
      <c r="I86" t="str">
        <f t="shared" si="2"/>
        <v>PXCDS-F67043LAW</v>
      </c>
      <c r="J86" t="s">
        <v>36</v>
      </c>
      <c r="K86" t="s">
        <v>37</v>
      </c>
      <c r="L86" s="2">
        <v>89.5</v>
      </c>
      <c r="M86" s="7">
        <v>1</v>
      </c>
      <c r="N86" s="3" t="str">
        <f t="shared" si="3"/>
        <v>LAW</v>
      </c>
      <c r="O86" t="s">
        <v>33</v>
      </c>
      <c r="P86" s="4">
        <v>46079</v>
      </c>
      <c r="Q86" t="s">
        <v>11</v>
      </c>
      <c r="R86" t="s">
        <v>2</v>
      </c>
      <c r="S86" t="s">
        <v>12</v>
      </c>
      <c r="T86" s="4">
        <v>46079</v>
      </c>
      <c r="U86" t="s">
        <v>13</v>
      </c>
      <c r="V86" t="s">
        <v>2</v>
      </c>
      <c r="W86" t="s">
        <v>14</v>
      </c>
      <c r="X86" t="s">
        <v>15</v>
      </c>
      <c r="Y86" t="s">
        <v>16</v>
      </c>
      <c r="Z86" t="s">
        <v>68</v>
      </c>
      <c r="AA86" t="s">
        <v>68</v>
      </c>
      <c r="AB86" t="s">
        <v>18</v>
      </c>
      <c r="AC86" t="s">
        <v>19</v>
      </c>
      <c r="AD86" t="s">
        <v>34</v>
      </c>
      <c r="AE86" t="s">
        <v>12</v>
      </c>
      <c r="AF86" t="s">
        <v>21</v>
      </c>
      <c r="AG86" s="5">
        <v>89.5</v>
      </c>
      <c r="AH86" s="2">
        <v>89.5</v>
      </c>
      <c r="AI86" t="s">
        <v>22</v>
      </c>
      <c r="AJ86" s="4">
        <v>46079</v>
      </c>
      <c r="AK86" s="4">
        <v>46085</v>
      </c>
      <c r="AL86" s="4">
        <v>46079</v>
      </c>
      <c r="AM86" t="s">
        <v>2</v>
      </c>
      <c r="AN86" t="s">
        <v>2</v>
      </c>
      <c r="AO86" t="s">
        <v>23</v>
      </c>
    </row>
    <row r="87" spans="1:41" x14ac:dyDescent="0.2">
      <c r="A87" t="s">
        <v>0</v>
      </c>
      <c r="B87" t="s">
        <v>1</v>
      </c>
      <c r="C87" t="s">
        <v>2</v>
      </c>
      <c r="D87" t="s">
        <v>126</v>
      </c>
      <c r="E87" t="s">
        <v>127</v>
      </c>
      <c r="F87" t="s">
        <v>2</v>
      </c>
      <c r="G87" t="s">
        <v>6</v>
      </c>
      <c r="H87" t="s">
        <v>140</v>
      </c>
      <c r="I87" t="str">
        <f t="shared" si="2"/>
        <v>PXCEI-F63023CAB</v>
      </c>
      <c r="J87" t="s">
        <v>141</v>
      </c>
      <c r="K87" t="s">
        <v>142</v>
      </c>
      <c r="L87" s="2">
        <v>1</v>
      </c>
      <c r="M87" s="7">
        <v>2</v>
      </c>
      <c r="N87" s="3" t="str">
        <f t="shared" si="3"/>
        <v>CAB</v>
      </c>
      <c r="O87" t="s">
        <v>40</v>
      </c>
      <c r="P87" s="4">
        <v>46079</v>
      </c>
      <c r="Q87" t="s">
        <v>11</v>
      </c>
      <c r="R87" t="s">
        <v>2</v>
      </c>
      <c r="S87" t="s">
        <v>12</v>
      </c>
      <c r="T87" s="4">
        <v>46079</v>
      </c>
      <c r="U87" t="s">
        <v>13</v>
      </c>
      <c r="V87" t="s">
        <v>2</v>
      </c>
      <c r="W87" t="s">
        <v>14</v>
      </c>
      <c r="X87" t="s">
        <v>15</v>
      </c>
      <c r="Y87" t="s">
        <v>16</v>
      </c>
      <c r="Z87" t="s">
        <v>68</v>
      </c>
      <c r="AA87" t="s">
        <v>68</v>
      </c>
      <c r="AB87" t="s">
        <v>18</v>
      </c>
      <c r="AC87" t="s">
        <v>19</v>
      </c>
      <c r="AD87" t="s">
        <v>34</v>
      </c>
      <c r="AE87" t="s">
        <v>12</v>
      </c>
      <c r="AF87" t="s">
        <v>21</v>
      </c>
      <c r="AG87" s="5">
        <v>1</v>
      </c>
      <c r="AH87" s="2">
        <v>2</v>
      </c>
      <c r="AI87" t="s">
        <v>22</v>
      </c>
      <c r="AJ87" s="4">
        <v>46079</v>
      </c>
      <c r="AK87" s="4">
        <v>46085</v>
      </c>
      <c r="AL87" s="4">
        <v>46079</v>
      </c>
      <c r="AM87" t="s">
        <v>2</v>
      </c>
      <c r="AN87" t="s">
        <v>2</v>
      </c>
      <c r="AO87" t="s">
        <v>23</v>
      </c>
    </row>
    <row r="88" spans="1:41" x14ac:dyDescent="0.2">
      <c r="A88" t="s">
        <v>0</v>
      </c>
      <c r="B88" t="s">
        <v>1</v>
      </c>
      <c r="C88" t="s">
        <v>2</v>
      </c>
      <c r="D88" t="s">
        <v>126</v>
      </c>
      <c r="E88" t="s">
        <v>127</v>
      </c>
      <c r="F88" t="s">
        <v>2</v>
      </c>
      <c r="G88" t="s">
        <v>6</v>
      </c>
      <c r="H88" t="s">
        <v>143</v>
      </c>
      <c r="I88" t="str">
        <f t="shared" si="2"/>
        <v>PXCEI-F67043CAB</v>
      </c>
      <c r="J88" t="s">
        <v>39</v>
      </c>
      <c r="K88" t="s">
        <v>37</v>
      </c>
      <c r="L88" s="2">
        <v>89.5</v>
      </c>
      <c r="M88" s="7">
        <v>2</v>
      </c>
      <c r="N88" s="3" t="str">
        <f t="shared" si="3"/>
        <v>CAB</v>
      </c>
      <c r="O88" t="s">
        <v>40</v>
      </c>
      <c r="P88" s="4">
        <v>46079</v>
      </c>
      <c r="Q88" t="s">
        <v>11</v>
      </c>
      <c r="R88" t="s">
        <v>2</v>
      </c>
      <c r="S88" t="s">
        <v>12</v>
      </c>
      <c r="T88" s="4">
        <v>46079</v>
      </c>
      <c r="U88" t="s">
        <v>13</v>
      </c>
      <c r="V88" t="s">
        <v>2</v>
      </c>
      <c r="W88" t="s">
        <v>14</v>
      </c>
      <c r="X88" t="s">
        <v>15</v>
      </c>
      <c r="Y88" t="s">
        <v>16</v>
      </c>
      <c r="Z88" t="s">
        <v>68</v>
      </c>
      <c r="AA88" t="s">
        <v>68</v>
      </c>
      <c r="AB88" t="s">
        <v>18</v>
      </c>
      <c r="AC88" t="s">
        <v>19</v>
      </c>
      <c r="AD88" t="s">
        <v>34</v>
      </c>
      <c r="AE88" t="s">
        <v>12</v>
      </c>
      <c r="AF88" t="s">
        <v>21</v>
      </c>
      <c r="AG88" s="5">
        <v>89.5</v>
      </c>
      <c r="AH88" s="2">
        <v>179</v>
      </c>
      <c r="AI88" t="s">
        <v>22</v>
      </c>
      <c r="AJ88" s="4">
        <v>46079</v>
      </c>
      <c r="AK88" s="4">
        <v>46085</v>
      </c>
      <c r="AL88" s="4">
        <v>46079</v>
      </c>
      <c r="AM88" t="s">
        <v>2</v>
      </c>
      <c r="AN88" t="s">
        <v>2</v>
      </c>
      <c r="AO88" t="s">
        <v>23</v>
      </c>
    </row>
    <row r="89" spans="1:41" x14ac:dyDescent="0.2">
      <c r="A89" t="s">
        <v>0</v>
      </c>
      <c r="B89" t="s">
        <v>1</v>
      </c>
      <c r="C89" t="s">
        <v>2</v>
      </c>
      <c r="D89" t="s">
        <v>126</v>
      </c>
      <c r="E89" t="s">
        <v>127</v>
      </c>
      <c r="F89" t="s">
        <v>2</v>
      </c>
      <c r="G89" t="s">
        <v>6</v>
      </c>
      <c r="H89" t="s">
        <v>144</v>
      </c>
      <c r="I89" t="str">
        <f t="shared" si="2"/>
        <v>PXCCM-F67080CAB</v>
      </c>
      <c r="J89" t="s">
        <v>115</v>
      </c>
      <c r="K89" t="s">
        <v>116</v>
      </c>
      <c r="L89" s="2">
        <v>1</v>
      </c>
      <c r="M89" s="7">
        <v>3</v>
      </c>
      <c r="N89" s="3" t="str">
        <f t="shared" si="3"/>
        <v>CAB</v>
      </c>
      <c r="O89" t="s">
        <v>40</v>
      </c>
      <c r="P89" s="4">
        <v>46080</v>
      </c>
      <c r="Q89" t="s">
        <v>11</v>
      </c>
      <c r="R89" t="s">
        <v>2</v>
      </c>
      <c r="S89" t="s">
        <v>12</v>
      </c>
      <c r="T89" s="4">
        <v>46080</v>
      </c>
      <c r="U89" t="s">
        <v>13</v>
      </c>
      <c r="V89" t="s">
        <v>2</v>
      </c>
      <c r="W89" t="s">
        <v>14</v>
      </c>
      <c r="X89" t="s">
        <v>15</v>
      </c>
      <c r="Y89" t="s">
        <v>16</v>
      </c>
      <c r="Z89" t="s">
        <v>68</v>
      </c>
      <c r="AA89" t="s">
        <v>68</v>
      </c>
      <c r="AB89" t="s">
        <v>18</v>
      </c>
      <c r="AC89" t="s">
        <v>19</v>
      </c>
      <c r="AD89" t="s">
        <v>34</v>
      </c>
      <c r="AE89" t="s">
        <v>12</v>
      </c>
      <c r="AF89" t="s">
        <v>21</v>
      </c>
      <c r="AG89" s="5">
        <v>1</v>
      </c>
      <c r="AH89" s="2">
        <v>3</v>
      </c>
      <c r="AI89" t="s">
        <v>22</v>
      </c>
      <c r="AJ89" s="4">
        <v>46080</v>
      </c>
      <c r="AK89" s="4">
        <v>46086</v>
      </c>
      <c r="AL89" s="4">
        <v>46080</v>
      </c>
      <c r="AM89" t="s">
        <v>2</v>
      </c>
      <c r="AN89" t="s">
        <v>2</v>
      </c>
      <c r="AO89" t="s">
        <v>23</v>
      </c>
    </row>
    <row r="90" spans="1:41" x14ac:dyDescent="0.2">
      <c r="A90" t="s">
        <v>0</v>
      </c>
      <c r="B90" t="s">
        <v>1</v>
      </c>
      <c r="C90" t="s">
        <v>2</v>
      </c>
      <c r="D90" t="s">
        <v>145</v>
      </c>
      <c r="E90" t="s">
        <v>4</v>
      </c>
      <c r="F90" t="s">
        <v>146</v>
      </c>
      <c r="G90" t="s">
        <v>6</v>
      </c>
      <c r="H90" t="s">
        <v>147</v>
      </c>
      <c r="I90" t="str">
        <f t="shared" si="2"/>
        <v>PXBHZ-F65101LZZ</v>
      </c>
      <c r="J90" t="s">
        <v>43</v>
      </c>
      <c r="K90" t="s">
        <v>44</v>
      </c>
      <c r="L90" s="2">
        <v>22.4</v>
      </c>
      <c r="M90" s="7">
        <v>5</v>
      </c>
      <c r="N90" s="3" t="str">
        <f t="shared" si="3"/>
        <v>LZZ</v>
      </c>
      <c r="O90" t="s">
        <v>24</v>
      </c>
      <c r="P90" s="4">
        <v>46079</v>
      </c>
      <c r="Q90" t="s">
        <v>11</v>
      </c>
      <c r="R90" t="s">
        <v>2</v>
      </c>
      <c r="S90" t="s">
        <v>12</v>
      </c>
      <c r="T90" s="4">
        <v>46079</v>
      </c>
      <c r="U90" t="s">
        <v>13</v>
      </c>
      <c r="V90" t="s">
        <v>2</v>
      </c>
      <c r="W90" t="s">
        <v>14</v>
      </c>
      <c r="X90" t="s">
        <v>15</v>
      </c>
      <c r="Y90" t="s">
        <v>16</v>
      </c>
      <c r="Z90" t="s">
        <v>17</v>
      </c>
      <c r="AA90" t="s">
        <v>17</v>
      </c>
      <c r="AB90" t="s">
        <v>18</v>
      </c>
      <c r="AC90" t="s">
        <v>19</v>
      </c>
      <c r="AD90" t="s">
        <v>25</v>
      </c>
      <c r="AE90" t="s">
        <v>12</v>
      </c>
      <c r="AF90" t="s">
        <v>21</v>
      </c>
      <c r="AG90" s="5">
        <v>22.4</v>
      </c>
      <c r="AH90" s="2">
        <v>112</v>
      </c>
      <c r="AI90" t="s">
        <v>22</v>
      </c>
      <c r="AJ90" s="4">
        <v>46079</v>
      </c>
      <c r="AK90" s="4">
        <v>46084</v>
      </c>
      <c r="AL90" s="4">
        <v>46079</v>
      </c>
      <c r="AM90" t="s">
        <v>2</v>
      </c>
      <c r="AN90" t="s">
        <v>2</v>
      </c>
      <c r="AO90" t="s">
        <v>23</v>
      </c>
    </row>
    <row r="91" spans="1:41" x14ac:dyDescent="0.2">
      <c r="A91" t="s">
        <v>0</v>
      </c>
      <c r="B91" t="s">
        <v>1</v>
      </c>
      <c r="C91" t="s">
        <v>2</v>
      </c>
      <c r="D91" t="s">
        <v>145</v>
      </c>
      <c r="E91" t="s">
        <v>4</v>
      </c>
      <c r="F91" t="s">
        <v>146</v>
      </c>
      <c r="G91" t="s">
        <v>6</v>
      </c>
      <c r="H91" t="s">
        <v>147</v>
      </c>
      <c r="I91" t="str">
        <f t="shared" si="2"/>
        <v>PXBHZ-F65101LZZ</v>
      </c>
      <c r="J91" t="s">
        <v>43</v>
      </c>
      <c r="K91" t="s">
        <v>44</v>
      </c>
      <c r="L91" s="2">
        <v>22.4</v>
      </c>
      <c r="M91" s="7">
        <v>11</v>
      </c>
      <c r="N91" s="3" t="str">
        <f t="shared" si="3"/>
        <v>LZZ</v>
      </c>
      <c r="O91" t="s">
        <v>46</v>
      </c>
      <c r="P91" s="4">
        <v>46079</v>
      </c>
      <c r="Q91" t="s">
        <v>11</v>
      </c>
      <c r="R91" t="s">
        <v>2</v>
      </c>
      <c r="S91" t="s">
        <v>12</v>
      </c>
      <c r="T91" s="4">
        <v>46079</v>
      </c>
      <c r="U91" t="s">
        <v>13</v>
      </c>
      <c r="V91" t="s">
        <v>2</v>
      </c>
      <c r="W91" t="s">
        <v>14</v>
      </c>
      <c r="X91" t="s">
        <v>15</v>
      </c>
      <c r="Y91" t="s">
        <v>16</v>
      </c>
      <c r="Z91" t="s">
        <v>17</v>
      </c>
      <c r="AA91" t="s">
        <v>17</v>
      </c>
      <c r="AB91" t="s">
        <v>18</v>
      </c>
      <c r="AC91" t="s">
        <v>19</v>
      </c>
      <c r="AD91" t="s">
        <v>47</v>
      </c>
      <c r="AE91" t="s">
        <v>26</v>
      </c>
      <c r="AF91" t="s">
        <v>21</v>
      </c>
      <c r="AG91" s="5">
        <v>22.4</v>
      </c>
      <c r="AH91" s="2">
        <v>246.4</v>
      </c>
      <c r="AI91" t="s">
        <v>22</v>
      </c>
      <c r="AJ91" s="4">
        <v>46079</v>
      </c>
      <c r="AK91" s="4">
        <v>46084</v>
      </c>
      <c r="AL91" s="4">
        <v>46079</v>
      </c>
      <c r="AM91" t="s">
        <v>2</v>
      </c>
      <c r="AN91" t="s">
        <v>2</v>
      </c>
      <c r="AO91" t="s">
        <v>23</v>
      </c>
    </row>
    <row r="92" spans="1:41" x14ac:dyDescent="0.2">
      <c r="A92" t="s">
        <v>0</v>
      </c>
      <c r="B92" t="s">
        <v>1</v>
      </c>
      <c r="C92" t="s">
        <v>2</v>
      </c>
      <c r="D92" t="s">
        <v>145</v>
      </c>
      <c r="E92" t="s">
        <v>4</v>
      </c>
      <c r="F92" t="s">
        <v>146</v>
      </c>
      <c r="G92" t="s">
        <v>6</v>
      </c>
      <c r="H92" t="s">
        <v>147</v>
      </c>
      <c r="I92" t="str">
        <f t="shared" si="2"/>
        <v>PXBHZ-F65101LZZ</v>
      </c>
      <c r="J92" t="s">
        <v>43</v>
      </c>
      <c r="K92" t="s">
        <v>44</v>
      </c>
      <c r="L92" s="2">
        <v>22.4</v>
      </c>
      <c r="M92" s="7">
        <v>14</v>
      </c>
      <c r="N92" s="3" t="str">
        <f t="shared" si="3"/>
        <v>LZZ</v>
      </c>
      <c r="O92" t="s">
        <v>48</v>
      </c>
      <c r="P92" s="4">
        <v>46079</v>
      </c>
      <c r="Q92" t="s">
        <v>11</v>
      </c>
      <c r="R92" t="s">
        <v>2</v>
      </c>
      <c r="S92" t="s">
        <v>12</v>
      </c>
      <c r="T92" s="4">
        <v>46079</v>
      </c>
      <c r="U92" t="s">
        <v>13</v>
      </c>
      <c r="V92" t="s">
        <v>2</v>
      </c>
      <c r="W92" t="s">
        <v>14</v>
      </c>
      <c r="X92" t="s">
        <v>15</v>
      </c>
      <c r="Y92" t="s">
        <v>16</v>
      </c>
      <c r="Z92" t="s">
        <v>17</v>
      </c>
      <c r="AA92" t="s">
        <v>17</v>
      </c>
      <c r="AB92" t="s">
        <v>18</v>
      </c>
      <c r="AC92" t="s">
        <v>19</v>
      </c>
      <c r="AD92" t="s">
        <v>49</v>
      </c>
      <c r="AE92" t="s">
        <v>29</v>
      </c>
      <c r="AF92" t="s">
        <v>21</v>
      </c>
      <c r="AG92" s="5">
        <v>22.4</v>
      </c>
      <c r="AH92" s="2">
        <v>313.60000000000002</v>
      </c>
      <c r="AI92" t="s">
        <v>22</v>
      </c>
      <c r="AJ92" s="4">
        <v>46079</v>
      </c>
      <c r="AK92" s="4">
        <v>46084</v>
      </c>
      <c r="AL92" s="4">
        <v>46079</v>
      </c>
      <c r="AM92" t="s">
        <v>2</v>
      </c>
      <c r="AN92" t="s">
        <v>2</v>
      </c>
      <c r="AO92" t="s">
        <v>23</v>
      </c>
    </row>
    <row r="93" spans="1:41" x14ac:dyDescent="0.2">
      <c r="A93" t="s">
        <v>0</v>
      </c>
      <c r="B93" t="s">
        <v>1</v>
      </c>
      <c r="C93" t="s">
        <v>2</v>
      </c>
      <c r="D93" t="s">
        <v>145</v>
      </c>
      <c r="E93" t="s">
        <v>4</v>
      </c>
      <c r="F93" t="s">
        <v>146</v>
      </c>
      <c r="G93" t="s">
        <v>6</v>
      </c>
      <c r="H93" t="s">
        <v>147</v>
      </c>
      <c r="I93" t="str">
        <f t="shared" si="2"/>
        <v>PXBHZ-F65101LZZ</v>
      </c>
      <c r="J93" t="s">
        <v>43</v>
      </c>
      <c r="K93" t="s">
        <v>44</v>
      </c>
      <c r="L93" s="2">
        <v>22.4</v>
      </c>
      <c r="M93" s="7">
        <v>7</v>
      </c>
      <c r="N93" s="3" t="str">
        <f t="shared" si="3"/>
        <v>LZZ</v>
      </c>
      <c r="O93" t="s">
        <v>50</v>
      </c>
      <c r="P93" s="4">
        <v>46079</v>
      </c>
      <c r="Q93" t="s">
        <v>11</v>
      </c>
      <c r="R93" t="s">
        <v>2</v>
      </c>
      <c r="S93" t="s">
        <v>12</v>
      </c>
      <c r="T93" s="4">
        <v>46079</v>
      </c>
      <c r="U93" t="s">
        <v>13</v>
      </c>
      <c r="V93" t="s">
        <v>2</v>
      </c>
      <c r="W93" t="s">
        <v>14</v>
      </c>
      <c r="X93" t="s">
        <v>15</v>
      </c>
      <c r="Y93" t="s">
        <v>16</v>
      </c>
      <c r="Z93" t="s">
        <v>17</v>
      </c>
      <c r="AA93" t="s">
        <v>17</v>
      </c>
      <c r="AB93" t="s">
        <v>18</v>
      </c>
      <c r="AC93" t="s">
        <v>19</v>
      </c>
      <c r="AD93" t="s">
        <v>51</v>
      </c>
      <c r="AE93" t="s">
        <v>45</v>
      </c>
      <c r="AF93" t="s">
        <v>21</v>
      </c>
      <c r="AG93" s="5">
        <v>22.4</v>
      </c>
      <c r="AH93" s="2">
        <v>156.80000000000001</v>
      </c>
      <c r="AI93" t="s">
        <v>22</v>
      </c>
      <c r="AJ93" s="4">
        <v>46079</v>
      </c>
      <c r="AK93" s="4">
        <v>46084</v>
      </c>
      <c r="AL93" s="4">
        <v>46079</v>
      </c>
      <c r="AM93" t="s">
        <v>2</v>
      </c>
      <c r="AN93" t="s">
        <v>2</v>
      </c>
      <c r="AO93" t="s">
        <v>23</v>
      </c>
    </row>
    <row r="94" spans="1:41" x14ac:dyDescent="0.2">
      <c r="A94" t="s">
        <v>0</v>
      </c>
      <c r="B94" t="s">
        <v>1</v>
      </c>
      <c r="C94" t="s">
        <v>2</v>
      </c>
      <c r="D94" t="s">
        <v>145</v>
      </c>
      <c r="E94" t="s">
        <v>4</v>
      </c>
      <c r="F94" t="s">
        <v>146</v>
      </c>
      <c r="G94" t="s">
        <v>6</v>
      </c>
      <c r="H94" t="s">
        <v>148</v>
      </c>
      <c r="I94" t="str">
        <f t="shared" si="2"/>
        <v>PXBHZ-H65077LZZ</v>
      </c>
      <c r="J94" t="s">
        <v>8</v>
      </c>
      <c r="K94" t="s">
        <v>9</v>
      </c>
      <c r="L94" s="2">
        <v>31.5</v>
      </c>
      <c r="M94" s="7">
        <v>17</v>
      </c>
      <c r="N94" s="3" t="str">
        <f t="shared" si="3"/>
        <v>LZZ</v>
      </c>
      <c r="O94" t="s">
        <v>10</v>
      </c>
      <c r="P94" s="4">
        <v>46079</v>
      </c>
      <c r="Q94" t="s">
        <v>11</v>
      </c>
      <c r="R94" t="s">
        <v>2</v>
      </c>
      <c r="S94" t="s">
        <v>12</v>
      </c>
      <c r="T94" s="4">
        <v>46079</v>
      </c>
      <c r="U94" t="s">
        <v>13</v>
      </c>
      <c r="V94" t="s">
        <v>2</v>
      </c>
      <c r="W94" t="s">
        <v>14</v>
      </c>
      <c r="X94" t="s">
        <v>15</v>
      </c>
      <c r="Y94" t="s">
        <v>16</v>
      </c>
      <c r="Z94" t="s">
        <v>17</v>
      </c>
      <c r="AA94" t="s">
        <v>17</v>
      </c>
      <c r="AB94" t="s">
        <v>18</v>
      </c>
      <c r="AC94" t="s">
        <v>19</v>
      </c>
      <c r="AD94" t="s">
        <v>20</v>
      </c>
      <c r="AE94" t="s">
        <v>26</v>
      </c>
      <c r="AF94" t="s">
        <v>21</v>
      </c>
      <c r="AG94" s="5">
        <v>31.5</v>
      </c>
      <c r="AH94" s="2">
        <v>535.5</v>
      </c>
      <c r="AI94" t="s">
        <v>22</v>
      </c>
      <c r="AJ94" s="4">
        <v>46079</v>
      </c>
      <c r="AK94" s="4">
        <v>46084</v>
      </c>
      <c r="AL94" s="4">
        <v>46079</v>
      </c>
      <c r="AM94" t="s">
        <v>2</v>
      </c>
      <c r="AN94" t="s">
        <v>2</v>
      </c>
      <c r="AO94" t="s">
        <v>23</v>
      </c>
    </row>
    <row r="95" spans="1:41" x14ac:dyDescent="0.2">
      <c r="A95" t="s">
        <v>0</v>
      </c>
      <c r="B95" t="s">
        <v>1</v>
      </c>
      <c r="C95" t="s">
        <v>2</v>
      </c>
      <c r="D95" t="s">
        <v>145</v>
      </c>
      <c r="E95" t="s">
        <v>4</v>
      </c>
      <c r="F95" t="s">
        <v>146</v>
      </c>
      <c r="G95" t="s">
        <v>6</v>
      </c>
      <c r="H95" t="s">
        <v>148</v>
      </c>
      <c r="I95" t="str">
        <f t="shared" si="2"/>
        <v>PXBHZ-H65077CAE</v>
      </c>
      <c r="J95" t="s">
        <v>8</v>
      </c>
      <c r="K95" t="s">
        <v>9</v>
      </c>
      <c r="L95" s="2">
        <v>31.5</v>
      </c>
      <c r="M95" s="7">
        <v>6</v>
      </c>
      <c r="N95" s="3" t="str">
        <f t="shared" si="3"/>
        <v>CAE</v>
      </c>
      <c r="O95" t="s">
        <v>70</v>
      </c>
      <c r="P95" s="4">
        <v>46079</v>
      </c>
      <c r="Q95" t="s">
        <v>11</v>
      </c>
      <c r="R95" t="s">
        <v>2</v>
      </c>
      <c r="S95" t="s">
        <v>12</v>
      </c>
      <c r="T95" s="4">
        <v>46079</v>
      </c>
      <c r="U95" t="s">
        <v>13</v>
      </c>
      <c r="V95" t="s">
        <v>2</v>
      </c>
      <c r="W95" t="s">
        <v>14</v>
      </c>
      <c r="X95" t="s">
        <v>15</v>
      </c>
      <c r="Y95" t="s">
        <v>16</v>
      </c>
      <c r="Z95" t="s">
        <v>17</v>
      </c>
      <c r="AA95" t="s">
        <v>17</v>
      </c>
      <c r="AB95" t="s">
        <v>18</v>
      </c>
      <c r="AC95" t="s">
        <v>19</v>
      </c>
      <c r="AD95" t="s">
        <v>20</v>
      </c>
      <c r="AE95" t="s">
        <v>71</v>
      </c>
      <c r="AF95" t="s">
        <v>21</v>
      </c>
      <c r="AG95" s="5">
        <v>31.5</v>
      </c>
      <c r="AH95" s="2">
        <v>189</v>
      </c>
      <c r="AI95" t="s">
        <v>22</v>
      </c>
      <c r="AJ95" s="4">
        <v>46079</v>
      </c>
      <c r="AK95" s="4">
        <v>46084</v>
      </c>
      <c r="AL95" s="4">
        <v>46079</v>
      </c>
      <c r="AM95" t="s">
        <v>2</v>
      </c>
      <c r="AN95" t="s">
        <v>2</v>
      </c>
      <c r="AO95" t="s">
        <v>23</v>
      </c>
    </row>
    <row r="96" spans="1:41" x14ac:dyDescent="0.2">
      <c r="A96" t="s">
        <v>0</v>
      </c>
      <c r="B96" t="s">
        <v>1</v>
      </c>
      <c r="C96" t="s">
        <v>2</v>
      </c>
      <c r="D96" t="s">
        <v>145</v>
      </c>
      <c r="E96" t="s">
        <v>4</v>
      </c>
      <c r="F96" t="s">
        <v>146</v>
      </c>
      <c r="G96" t="s">
        <v>6</v>
      </c>
      <c r="H96" t="s">
        <v>148</v>
      </c>
      <c r="I96" t="str">
        <f t="shared" si="2"/>
        <v>PXBHZ-H65077LZZ</v>
      </c>
      <c r="J96" t="s">
        <v>8</v>
      </c>
      <c r="K96" t="s">
        <v>9</v>
      </c>
      <c r="L96" s="2">
        <v>31.5</v>
      </c>
      <c r="M96" s="7">
        <v>17</v>
      </c>
      <c r="N96" s="3" t="str">
        <f t="shared" si="3"/>
        <v>LZZ</v>
      </c>
      <c r="O96" t="s">
        <v>24</v>
      </c>
      <c r="P96" s="4">
        <v>46079</v>
      </c>
      <c r="Q96" t="s">
        <v>11</v>
      </c>
      <c r="R96" t="s">
        <v>2</v>
      </c>
      <c r="S96" t="s">
        <v>12</v>
      </c>
      <c r="T96" s="4">
        <v>46079</v>
      </c>
      <c r="U96" t="s">
        <v>13</v>
      </c>
      <c r="V96" t="s">
        <v>2</v>
      </c>
      <c r="W96" t="s">
        <v>14</v>
      </c>
      <c r="X96" t="s">
        <v>15</v>
      </c>
      <c r="Y96" t="s">
        <v>16</v>
      </c>
      <c r="Z96" t="s">
        <v>17</v>
      </c>
      <c r="AA96" t="s">
        <v>17</v>
      </c>
      <c r="AB96" t="s">
        <v>18</v>
      </c>
      <c r="AC96" t="s">
        <v>19</v>
      </c>
      <c r="AD96" t="s">
        <v>25</v>
      </c>
      <c r="AE96" t="s">
        <v>12</v>
      </c>
      <c r="AF96" t="s">
        <v>21</v>
      </c>
      <c r="AG96" s="5">
        <v>31.5</v>
      </c>
      <c r="AH96" s="2">
        <v>535.5</v>
      </c>
      <c r="AI96" t="s">
        <v>22</v>
      </c>
      <c r="AJ96" s="4">
        <v>46079</v>
      </c>
      <c r="AK96" s="4">
        <v>46084</v>
      </c>
      <c r="AL96" s="4">
        <v>46079</v>
      </c>
      <c r="AM96" t="s">
        <v>2</v>
      </c>
      <c r="AN96" t="s">
        <v>2</v>
      </c>
      <c r="AO96" t="s">
        <v>23</v>
      </c>
    </row>
    <row r="97" spans="1:41" x14ac:dyDescent="0.2">
      <c r="A97" t="s">
        <v>0</v>
      </c>
      <c r="B97" t="s">
        <v>1</v>
      </c>
      <c r="C97" t="s">
        <v>2</v>
      </c>
      <c r="D97" t="s">
        <v>145</v>
      </c>
      <c r="E97" t="s">
        <v>4</v>
      </c>
      <c r="F97" t="s">
        <v>146</v>
      </c>
      <c r="G97" t="s">
        <v>6</v>
      </c>
      <c r="H97" t="s">
        <v>148</v>
      </c>
      <c r="I97" t="str">
        <f t="shared" si="2"/>
        <v>PXBHZ-H65077CAE</v>
      </c>
      <c r="J97" t="s">
        <v>8</v>
      </c>
      <c r="K97" t="s">
        <v>9</v>
      </c>
      <c r="L97" s="2">
        <v>31.5</v>
      </c>
      <c r="M97" s="7">
        <v>3</v>
      </c>
      <c r="N97" s="3" t="str">
        <f t="shared" si="3"/>
        <v>CAE</v>
      </c>
      <c r="O97" t="s">
        <v>72</v>
      </c>
      <c r="P97" s="4">
        <v>46079</v>
      </c>
      <c r="Q97" t="s">
        <v>11</v>
      </c>
      <c r="R97" t="s">
        <v>2</v>
      </c>
      <c r="S97" t="s">
        <v>12</v>
      </c>
      <c r="T97" s="4">
        <v>46079</v>
      </c>
      <c r="U97" t="s">
        <v>13</v>
      </c>
      <c r="V97" t="s">
        <v>2</v>
      </c>
      <c r="W97" t="s">
        <v>14</v>
      </c>
      <c r="X97" t="s">
        <v>15</v>
      </c>
      <c r="Y97" t="s">
        <v>16</v>
      </c>
      <c r="Z97" t="s">
        <v>17</v>
      </c>
      <c r="AA97" t="s">
        <v>17</v>
      </c>
      <c r="AB97" t="s">
        <v>18</v>
      </c>
      <c r="AC97" t="s">
        <v>19</v>
      </c>
      <c r="AD97" t="s">
        <v>25</v>
      </c>
      <c r="AE97" t="s">
        <v>73</v>
      </c>
      <c r="AF97" t="s">
        <v>21</v>
      </c>
      <c r="AG97" s="5">
        <v>31.5</v>
      </c>
      <c r="AH97" s="2">
        <v>94.5</v>
      </c>
      <c r="AI97" t="s">
        <v>22</v>
      </c>
      <c r="AJ97" s="4">
        <v>46079</v>
      </c>
      <c r="AK97" s="4">
        <v>46084</v>
      </c>
      <c r="AL97" s="4">
        <v>46079</v>
      </c>
      <c r="AM97" t="s">
        <v>2</v>
      </c>
      <c r="AN97" t="s">
        <v>2</v>
      </c>
      <c r="AO97" t="s">
        <v>23</v>
      </c>
    </row>
    <row r="98" spans="1:41" x14ac:dyDescent="0.2">
      <c r="A98" t="s">
        <v>0</v>
      </c>
      <c r="B98" t="s">
        <v>1</v>
      </c>
      <c r="C98" t="s">
        <v>2</v>
      </c>
      <c r="D98" t="s">
        <v>145</v>
      </c>
      <c r="E98" t="s">
        <v>4</v>
      </c>
      <c r="F98" t="s">
        <v>146</v>
      </c>
      <c r="G98" t="s">
        <v>6</v>
      </c>
      <c r="H98" t="s">
        <v>148</v>
      </c>
      <c r="I98" t="str">
        <f t="shared" si="2"/>
        <v>PXBHZ-H65077LZZ</v>
      </c>
      <c r="J98" t="s">
        <v>8</v>
      </c>
      <c r="K98" t="s">
        <v>9</v>
      </c>
      <c r="L98" s="2">
        <v>31.5</v>
      </c>
      <c r="M98" s="7">
        <v>4</v>
      </c>
      <c r="N98" s="3" t="str">
        <f t="shared" si="3"/>
        <v>LZZ</v>
      </c>
      <c r="O98" t="s">
        <v>46</v>
      </c>
      <c r="P98" s="4">
        <v>46079</v>
      </c>
      <c r="Q98" t="s">
        <v>11</v>
      </c>
      <c r="R98" t="s">
        <v>2</v>
      </c>
      <c r="S98" t="s">
        <v>12</v>
      </c>
      <c r="T98" s="4">
        <v>46079</v>
      </c>
      <c r="U98" t="s">
        <v>13</v>
      </c>
      <c r="V98" t="s">
        <v>2</v>
      </c>
      <c r="W98" t="s">
        <v>14</v>
      </c>
      <c r="X98" t="s">
        <v>15</v>
      </c>
      <c r="Y98" t="s">
        <v>16</v>
      </c>
      <c r="Z98" t="s">
        <v>17</v>
      </c>
      <c r="AA98" t="s">
        <v>17</v>
      </c>
      <c r="AB98" t="s">
        <v>18</v>
      </c>
      <c r="AC98" t="s">
        <v>19</v>
      </c>
      <c r="AD98" t="s">
        <v>47</v>
      </c>
      <c r="AE98" t="s">
        <v>29</v>
      </c>
      <c r="AF98" t="s">
        <v>21</v>
      </c>
      <c r="AG98" s="5">
        <v>31.5</v>
      </c>
      <c r="AH98" s="2">
        <v>126</v>
      </c>
      <c r="AI98" t="s">
        <v>22</v>
      </c>
      <c r="AJ98" s="4">
        <v>46079</v>
      </c>
      <c r="AK98" s="4">
        <v>46084</v>
      </c>
      <c r="AL98" s="4">
        <v>46079</v>
      </c>
      <c r="AM98" t="s">
        <v>2</v>
      </c>
      <c r="AN98" t="s">
        <v>2</v>
      </c>
      <c r="AO98" t="s">
        <v>23</v>
      </c>
    </row>
    <row r="99" spans="1:41" x14ac:dyDescent="0.2">
      <c r="A99" t="s">
        <v>0</v>
      </c>
      <c r="B99" t="s">
        <v>1</v>
      </c>
      <c r="C99" t="s">
        <v>2</v>
      </c>
      <c r="D99" t="s">
        <v>145</v>
      </c>
      <c r="E99" t="s">
        <v>4</v>
      </c>
      <c r="F99" t="s">
        <v>146</v>
      </c>
      <c r="G99" t="s">
        <v>6</v>
      </c>
      <c r="H99" t="s">
        <v>148</v>
      </c>
      <c r="I99" t="str">
        <f t="shared" si="2"/>
        <v>PXBHZ-H65077LZZ</v>
      </c>
      <c r="J99" t="s">
        <v>8</v>
      </c>
      <c r="K99" t="s">
        <v>9</v>
      </c>
      <c r="L99" s="2">
        <v>31.5</v>
      </c>
      <c r="M99" s="7">
        <v>6</v>
      </c>
      <c r="N99" s="3" t="str">
        <f t="shared" si="3"/>
        <v>LZZ</v>
      </c>
      <c r="O99" t="s">
        <v>27</v>
      </c>
      <c r="P99" s="4">
        <v>46079</v>
      </c>
      <c r="Q99" t="s">
        <v>11</v>
      </c>
      <c r="R99" t="s">
        <v>2</v>
      </c>
      <c r="S99" t="s">
        <v>12</v>
      </c>
      <c r="T99" s="4">
        <v>46079</v>
      </c>
      <c r="U99" t="s">
        <v>13</v>
      </c>
      <c r="V99" t="s">
        <v>2</v>
      </c>
      <c r="W99" t="s">
        <v>14</v>
      </c>
      <c r="X99" t="s">
        <v>15</v>
      </c>
      <c r="Y99" t="s">
        <v>16</v>
      </c>
      <c r="Z99" t="s">
        <v>17</v>
      </c>
      <c r="AA99" t="s">
        <v>17</v>
      </c>
      <c r="AB99" t="s">
        <v>18</v>
      </c>
      <c r="AC99" t="s">
        <v>19</v>
      </c>
      <c r="AD99" t="s">
        <v>28</v>
      </c>
      <c r="AE99" t="s">
        <v>45</v>
      </c>
      <c r="AF99" t="s">
        <v>21</v>
      </c>
      <c r="AG99" s="5">
        <v>31.5</v>
      </c>
      <c r="AH99" s="2">
        <v>189</v>
      </c>
      <c r="AI99" t="s">
        <v>22</v>
      </c>
      <c r="AJ99" s="4">
        <v>46079</v>
      </c>
      <c r="AK99" s="4">
        <v>46084</v>
      </c>
      <c r="AL99" s="4">
        <v>46079</v>
      </c>
      <c r="AM99" t="s">
        <v>2</v>
      </c>
      <c r="AN99" t="s">
        <v>2</v>
      </c>
      <c r="AO99" t="s">
        <v>23</v>
      </c>
    </row>
    <row r="100" spans="1:41" x14ac:dyDescent="0.2">
      <c r="A100" t="s">
        <v>0</v>
      </c>
      <c r="B100" t="s">
        <v>1</v>
      </c>
      <c r="C100" t="s">
        <v>2</v>
      </c>
      <c r="D100" t="s">
        <v>145</v>
      </c>
      <c r="E100" t="s">
        <v>4</v>
      </c>
      <c r="F100" t="s">
        <v>146</v>
      </c>
      <c r="G100" t="s">
        <v>6</v>
      </c>
      <c r="H100" t="s">
        <v>148</v>
      </c>
      <c r="I100" t="str">
        <f t="shared" si="2"/>
        <v>PXBHZ-H65077CAE</v>
      </c>
      <c r="J100" t="s">
        <v>8</v>
      </c>
      <c r="K100" t="s">
        <v>9</v>
      </c>
      <c r="L100" s="2">
        <v>31.5</v>
      </c>
      <c r="M100" s="7">
        <v>3</v>
      </c>
      <c r="N100" s="3" t="str">
        <f t="shared" si="3"/>
        <v>CAE</v>
      </c>
      <c r="O100" t="s">
        <v>76</v>
      </c>
      <c r="P100" s="4">
        <v>46079</v>
      </c>
      <c r="Q100" t="s">
        <v>11</v>
      </c>
      <c r="R100" t="s">
        <v>2</v>
      </c>
      <c r="S100" t="s">
        <v>12</v>
      </c>
      <c r="T100" s="4">
        <v>46079</v>
      </c>
      <c r="U100" t="s">
        <v>13</v>
      </c>
      <c r="V100" t="s">
        <v>2</v>
      </c>
      <c r="W100" t="s">
        <v>14</v>
      </c>
      <c r="X100" t="s">
        <v>15</v>
      </c>
      <c r="Y100" t="s">
        <v>16</v>
      </c>
      <c r="Z100" t="s">
        <v>17</v>
      </c>
      <c r="AA100" t="s">
        <v>17</v>
      </c>
      <c r="AB100" t="s">
        <v>18</v>
      </c>
      <c r="AC100" t="s">
        <v>19</v>
      </c>
      <c r="AD100" t="s">
        <v>28</v>
      </c>
      <c r="AE100" t="s">
        <v>75</v>
      </c>
      <c r="AF100" t="s">
        <v>21</v>
      </c>
      <c r="AG100" s="5">
        <v>31.5</v>
      </c>
      <c r="AH100" s="2">
        <v>94.5</v>
      </c>
      <c r="AI100" t="s">
        <v>22</v>
      </c>
      <c r="AJ100" s="4">
        <v>46079</v>
      </c>
      <c r="AK100" s="4">
        <v>46084</v>
      </c>
      <c r="AL100" s="4">
        <v>46079</v>
      </c>
      <c r="AM100" t="s">
        <v>2</v>
      </c>
      <c r="AN100" t="s">
        <v>2</v>
      </c>
      <c r="AO100" t="s">
        <v>23</v>
      </c>
    </row>
    <row r="101" spans="1:41" x14ac:dyDescent="0.2">
      <c r="A101" t="s">
        <v>0</v>
      </c>
      <c r="B101" t="s">
        <v>1</v>
      </c>
      <c r="C101" t="s">
        <v>2</v>
      </c>
      <c r="D101" t="s">
        <v>145</v>
      </c>
      <c r="E101" t="s">
        <v>4</v>
      </c>
      <c r="F101" t="s">
        <v>146</v>
      </c>
      <c r="G101" t="s">
        <v>6</v>
      </c>
      <c r="H101" t="s">
        <v>149</v>
      </c>
      <c r="I101" t="str">
        <f t="shared" si="2"/>
        <v>PXCBC-F63023LZZ</v>
      </c>
      <c r="J101" t="s">
        <v>79</v>
      </c>
      <c r="K101" t="s">
        <v>80</v>
      </c>
      <c r="L101" s="2">
        <v>41.5</v>
      </c>
      <c r="M101" s="7">
        <v>71</v>
      </c>
      <c r="N101" s="3" t="str">
        <f t="shared" si="3"/>
        <v>LZZ</v>
      </c>
      <c r="O101" t="s">
        <v>83</v>
      </c>
      <c r="P101" s="4">
        <v>46079</v>
      </c>
      <c r="Q101" t="s">
        <v>11</v>
      </c>
      <c r="R101" t="s">
        <v>2</v>
      </c>
      <c r="S101" t="s">
        <v>12</v>
      </c>
      <c r="T101" s="4">
        <v>46079</v>
      </c>
      <c r="U101" t="s">
        <v>13</v>
      </c>
      <c r="V101" t="s">
        <v>2</v>
      </c>
      <c r="W101" t="s">
        <v>14</v>
      </c>
      <c r="X101" t="s">
        <v>15</v>
      </c>
      <c r="Y101" t="s">
        <v>16</v>
      </c>
      <c r="Z101" t="s">
        <v>17</v>
      </c>
      <c r="AA101" t="s">
        <v>17</v>
      </c>
      <c r="AB101" t="s">
        <v>18</v>
      </c>
      <c r="AC101" t="s">
        <v>19</v>
      </c>
      <c r="AD101" t="s">
        <v>34</v>
      </c>
      <c r="AE101" t="s">
        <v>29</v>
      </c>
      <c r="AF101" t="s">
        <v>21</v>
      </c>
      <c r="AG101" s="5">
        <v>41.5</v>
      </c>
      <c r="AH101" s="2">
        <v>2946.5</v>
      </c>
      <c r="AI101" t="s">
        <v>22</v>
      </c>
      <c r="AJ101" s="4">
        <v>46079</v>
      </c>
      <c r="AK101" s="4">
        <v>46084</v>
      </c>
      <c r="AL101" s="4">
        <v>46079</v>
      </c>
      <c r="AM101" t="s">
        <v>2</v>
      </c>
      <c r="AN101" t="s">
        <v>2</v>
      </c>
      <c r="AO101" t="s">
        <v>23</v>
      </c>
    </row>
    <row r="102" spans="1:41" x14ac:dyDescent="0.2">
      <c r="A102" t="s">
        <v>0</v>
      </c>
      <c r="B102" t="s">
        <v>1</v>
      </c>
      <c r="C102" t="s">
        <v>2</v>
      </c>
      <c r="D102" t="s">
        <v>145</v>
      </c>
      <c r="E102" t="s">
        <v>4</v>
      </c>
      <c r="F102" t="s">
        <v>146</v>
      </c>
      <c r="G102" t="s">
        <v>6</v>
      </c>
      <c r="H102" t="s">
        <v>149</v>
      </c>
      <c r="I102" t="str">
        <f t="shared" si="2"/>
        <v>PXCBC-F63023LAW</v>
      </c>
      <c r="J102" t="s">
        <v>79</v>
      </c>
      <c r="K102" t="s">
        <v>80</v>
      </c>
      <c r="L102" s="2">
        <v>41.5</v>
      </c>
      <c r="M102" s="7">
        <v>21</v>
      </c>
      <c r="N102" s="3" t="str">
        <f t="shared" si="3"/>
        <v>LAW</v>
      </c>
      <c r="O102" t="s">
        <v>33</v>
      </c>
      <c r="P102" s="4">
        <v>46079</v>
      </c>
      <c r="Q102" t="s">
        <v>11</v>
      </c>
      <c r="R102" t="s">
        <v>2</v>
      </c>
      <c r="S102" t="s">
        <v>12</v>
      </c>
      <c r="T102" s="4">
        <v>46079</v>
      </c>
      <c r="U102" t="s">
        <v>13</v>
      </c>
      <c r="V102" t="s">
        <v>2</v>
      </c>
      <c r="W102" t="s">
        <v>14</v>
      </c>
      <c r="X102" t="s">
        <v>15</v>
      </c>
      <c r="Y102" t="s">
        <v>16</v>
      </c>
      <c r="Z102" t="s">
        <v>17</v>
      </c>
      <c r="AA102" t="s">
        <v>17</v>
      </c>
      <c r="AB102" t="s">
        <v>18</v>
      </c>
      <c r="AC102" t="s">
        <v>19</v>
      </c>
      <c r="AD102" t="s">
        <v>34</v>
      </c>
      <c r="AE102" t="s">
        <v>12</v>
      </c>
      <c r="AF102" t="s">
        <v>21</v>
      </c>
      <c r="AG102" s="5">
        <v>41.5</v>
      </c>
      <c r="AH102" s="2">
        <v>871.5</v>
      </c>
      <c r="AI102" t="s">
        <v>22</v>
      </c>
      <c r="AJ102" s="4">
        <v>46079</v>
      </c>
      <c r="AK102" s="4">
        <v>46084</v>
      </c>
      <c r="AL102" s="4">
        <v>46079</v>
      </c>
      <c r="AM102" t="s">
        <v>2</v>
      </c>
      <c r="AN102" t="s">
        <v>2</v>
      </c>
      <c r="AO102" t="s">
        <v>23</v>
      </c>
    </row>
    <row r="103" spans="1:41" x14ac:dyDescent="0.2">
      <c r="A103" t="s">
        <v>0</v>
      </c>
      <c r="B103" t="s">
        <v>1</v>
      </c>
      <c r="C103" t="s">
        <v>2</v>
      </c>
      <c r="D103" t="s">
        <v>145</v>
      </c>
      <c r="E103" t="s">
        <v>4</v>
      </c>
      <c r="F103" t="s">
        <v>146</v>
      </c>
      <c r="G103" t="s">
        <v>6</v>
      </c>
      <c r="H103" t="s">
        <v>149</v>
      </c>
      <c r="I103" t="str">
        <f t="shared" si="2"/>
        <v>PXCBC-F63023GAE</v>
      </c>
      <c r="J103" t="s">
        <v>79</v>
      </c>
      <c r="K103" t="s">
        <v>80</v>
      </c>
      <c r="L103" s="2">
        <v>41.5</v>
      </c>
      <c r="M103" s="7">
        <v>51</v>
      </c>
      <c r="N103" s="3" t="str">
        <f t="shared" si="3"/>
        <v>GAE</v>
      </c>
      <c r="O103" t="s">
        <v>81</v>
      </c>
      <c r="P103" s="4">
        <v>46079</v>
      </c>
      <c r="Q103" t="s">
        <v>11</v>
      </c>
      <c r="R103" t="s">
        <v>2</v>
      </c>
      <c r="S103" t="s">
        <v>12</v>
      </c>
      <c r="T103" s="4">
        <v>46079</v>
      </c>
      <c r="U103" t="s">
        <v>13</v>
      </c>
      <c r="V103" t="s">
        <v>2</v>
      </c>
      <c r="W103" t="s">
        <v>14</v>
      </c>
      <c r="X103" t="s">
        <v>15</v>
      </c>
      <c r="Y103" t="s">
        <v>16</v>
      </c>
      <c r="Z103" t="s">
        <v>17</v>
      </c>
      <c r="AA103" t="s">
        <v>17</v>
      </c>
      <c r="AB103" t="s">
        <v>18</v>
      </c>
      <c r="AC103" t="s">
        <v>19</v>
      </c>
      <c r="AD103" t="s">
        <v>34</v>
      </c>
      <c r="AE103" t="s">
        <v>26</v>
      </c>
      <c r="AF103" t="s">
        <v>21</v>
      </c>
      <c r="AG103" s="5">
        <v>41.5</v>
      </c>
      <c r="AH103" s="2">
        <v>2116.5</v>
      </c>
      <c r="AI103" t="s">
        <v>22</v>
      </c>
      <c r="AJ103" s="4">
        <v>46079</v>
      </c>
      <c r="AK103" s="4">
        <v>46084</v>
      </c>
      <c r="AL103" s="4">
        <v>46079</v>
      </c>
      <c r="AM103" t="s">
        <v>2</v>
      </c>
      <c r="AN103" t="s">
        <v>2</v>
      </c>
      <c r="AO103" t="s">
        <v>23</v>
      </c>
    </row>
    <row r="104" spans="1:41" x14ac:dyDescent="0.2">
      <c r="A104" t="s">
        <v>0</v>
      </c>
      <c r="B104" t="s">
        <v>1</v>
      </c>
      <c r="C104" t="s">
        <v>2</v>
      </c>
      <c r="D104" t="s">
        <v>145</v>
      </c>
      <c r="E104" t="s">
        <v>4</v>
      </c>
      <c r="F104" t="s">
        <v>146</v>
      </c>
      <c r="G104" t="s">
        <v>6</v>
      </c>
      <c r="H104" t="s">
        <v>150</v>
      </c>
      <c r="I104" t="str">
        <f t="shared" si="2"/>
        <v>PXCBC-F63024LZZ</v>
      </c>
      <c r="J104" t="s">
        <v>85</v>
      </c>
      <c r="K104" t="s">
        <v>86</v>
      </c>
      <c r="L104" s="2">
        <v>28.8</v>
      </c>
      <c r="M104" s="7">
        <v>4</v>
      </c>
      <c r="N104" s="3" t="str">
        <f t="shared" si="3"/>
        <v>LZZ</v>
      </c>
      <c r="O104" t="s">
        <v>83</v>
      </c>
      <c r="P104" s="4">
        <v>46079</v>
      </c>
      <c r="Q104" t="s">
        <v>11</v>
      </c>
      <c r="R104" t="s">
        <v>2</v>
      </c>
      <c r="S104" t="s">
        <v>12</v>
      </c>
      <c r="T104" s="4">
        <v>46079</v>
      </c>
      <c r="U104" t="s">
        <v>13</v>
      </c>
      <c r="V104" t="s">
        <v>2</v>
      </c>
      <c r="W104" t="s">
        <v>14</v>
      </c>
      <c r="X104" t="s">
        <v>15</v>
      </c>
      <c r="Y104" t="s">
        <v>16</v>
      </c>
      <c r="Z104" t="s">
        <v>17</v>
      </c>
      <c r="AA104" t="s">
        <v>17</v>
      </c>
      <c r="AB104" t="s">
        <v>18</v>
      </c>
      <c r="AC104" t="s">
        <v>19</v>
      </c>
      <c r="AD104" t="s">
        <v>34</v>
      </c>
      <c r="AE104" t="s">
        <v>26</v>
      </c>
      <c r="AF104" t="s">
        <v>21</v>
      </c>
      <c r="AG104" s="5">
        <v>28.8</v>
      </c>
      <c r="AH104" s="2">
        <v>115.2</v>
      </c>
      <c r="AI104" t="s">
        <v>22</v>
      </c>
      <c r="AJ104" s="4">
        <v>46079</v>
      </c>
      <c r="AK104" s="4">
        <v>46084</v>
      </c>
      <c r="AL104" s="4">
        <v>46079</v>
      </c>
      <c r="AM104" t="s">
        <v>2</v>
      </c>
      <c r="AN104" t="s">
        <v>2</v>
      </c>
      <c r="AO104" t="s">
        <v>23</v>
      </c>
    </row>
    <row r="105" spans="1:41" x14ac:dyDescent="0.2">
      <c r="A105" t="s">
        <v>0</v>
      </c>
      <c r="B105" t="s">
        <v>1</v>
      </c>
      <c r="C105" t="s">
        <v>2</v>
      </c>
      <c r="D105" t="s">
        <v>145</v>
      </c>
      <c r="E105" t="s">
        <v>4</v>
      </c>
      <c r="F105" t="s">
        <v>146</v>
      </c>
      <c r="G105" t="s">
        <v>6</v>
      </c>
      <c r="H105" t="s">
        <v>150</v>
      </c>
      <c r="I105" t="str">
        <f t="shared" si="2"/>
        <v>PXCBC-F63024KAN</v>
      </c>
      <c r="J105" t="s">
        <v>85</v>
      </c>
      <c r="K105" t="s">
        <v>86</v>
      </c>
      <c r="L105" s="2">
        <v>28.8</v>
      </c>
      <c r="M105" s="7">
        <v>1</v>
      </c>
      <c r="N105" s="3" t="str">
        <f t="shared" si="3"/>
        <v>KAN</v>
      </c>
      <c r="O105" t="s">
        <v>62</v>
      </c>
      <c r="P105" s="4">
        <v>46079</v>
      </c>
      <c r="Q105" t="s">
        <v>11</v>
      </c>
      <c r="R105" t="s">
        <v>2</v>
      </c>
      <c r="S105" t="s">
        <v>12</v>
      </c>
      <c r="T105" s="4">
        <v>46079</v>
      </c>
      <c r="U105" t="s">
        <v>13</v>
      </c>
      <c r="V105" t="s">
        <v>2</v>
      </c>
      <c r="W105" t="s">
        <v>14</v>
      </c>
      <c r="X105" t="s">
        <v>15</v>
      </c>
      <c r="Y105" t="s">
        <v>16</v>
      </c>
      <c r="Z105" t="s">
        <v>17</v>
      </c>
      <c r="AA105" t="s">
        <v>17</v>
      </c>
      <c r="AB105" t="s">
        <v>18</v>
      </c>
      <c r="AC105" t="s">
        <v>19</v>
      </c>
      <c r="AD105" t="s">
        <v>34</v>
      </c>
      <c r="AE105" t="s">
        <v>12</v>
      </c>
      <c r="AF105" t="s">
        <v>21</v>
      </c>
      <c r="AG105" s="5">
        <v>28.8</v>
      </c>
      <c r="AH105" s="2">
        <v>28.8</v>
      </c>
      <c r="AI105" t="s">
        <v>22</v>
      </c>
      <c r="AJ105" s="4">
        <v>46079</v>
      </c>
      <c r="AK105" s="4">
        <v>46084</v>
      </c>
      <c r="AL105" s="4">
        <v>46079</v>
      </c>
      <c r="AM105" t="s">
        <v>2</v>
      </c>
      <c r="AN105" t="s">
        <v>2</v>
      </c>
      <c r="AO105" t="s">
        <v>23</v>
      </c>
    </row>
    <row r="106" spans="1:41" x14ac:dyDescent="0.2">
      <c r="A106" t="s">
        <v>0</v>
      </c>
      <c r="B106" t="s">
        <v>1</v>
      </c>
      <c r="C106" t="s">
        <v>2</v>
      </c>
      <c r="D106" t="s">
        <v>145</v>
      </c>
      <c r="E106" t="s">
        <v>4</v>
      </c>
      <c r="F106" t="s">
        <v>146</v>
      </c>
      <c r="G106" t="s">
        <v>6</v>
      </c>
      <c r="H106" t="s">
        <v>151</v>
      </c>
      <c r="I106" t="str">
        <f t="shared" si="2"/>
        <v>PXCBC-F67043LZZ</v>
      </c>
      <c r="J106" t="s">
        <v>88</v>
      </c>
      <c r="K106" t="s">
        <v>37</v>
      </c>
      <c r="L106" s="2">
        <v>66.5</v>
      </c>
      <c r="M106" s="7">
        <v>76</v>
      </c>
      <c r="N106" s="3" t="str">
        <f t="shared" si="3"/>
        <v>LZZ</v>
      </c>
      <c r="O106" t="s">
        <v>83</v>
      </c>
      <c r="P106" s="4">
        <v>46079</v>
      </c>
      <c r="Q106" t="s">
        <v>11</v>
      </c>
      <c r="R106" t="s">
        <v>2</v>
      </c>
      <c r="S106" t="s">
        <v>12</v>
      </c>
      <c r="T106" s="4">
        <v>46079</v>
      </c>
      <c r="U106" t="s">
        <v>13</v>
      </c>
      <c r="V106" t="s">
        <v>2</v>
      </c>
      <c r="W106" t="s">
        <v>14</v>
      </c>
      <c r="X106" t="s">
        <v>15</v>
      </c>
      <c r="Y106" t="s">
        <v>16</v>
      </c>
      <c r="Z106" t="s">
        <v>17</v>
      </c>
      <c r="AA106" t="s">
        <v>17</v>
      </c>
      <c r="AB106" t="s">
        <v>18</v>
      </c>
      <c r="AC106" t="s">
        <v>19</v>
      </c>
      <c r="AD106" t="s">
        <v>34</v>
      </c>
      <c r="AE106" t="s">
        <v>45</v>
      </c>
      <c r="AF106" t="s">
        <v>21</v>
      </c>
      <c r="AG106" s="5">
        <v>66.5</v>
      </c>
      <c r="AH106" s="2">
        <v>5054</v>
      </c>
      <c r="AI106" t="s">
        <v>22</v>
      </c>
      <c r="AJ106" s="4">
        <v>46079</v>
      </c>
      <c r="AK106" s="4">
        <v>46084</v>
      </c>
      <c r="AL106" s="4">
        <v>46079</v>
      </c>
      <c r="AM106" t="s">
        <v>2</v>
      </c>
      <c r="AN106" t="s">
        <v>2</v>
      </c>
      <c r="AO106" t="s">
        <v>23</v>
      </c>
    </row>
    <row r="107" spans="1:41" x14ac:dyDescent="0.2">
      <c r="A107" t="s">
        <v>0</v>
      </c>
      <c r="B107" t="s">
        <v>1</v>
      </c>
      <c r="C107" t="s">
        <v>2</v>
      </c>
      <c r="D107" t="s">
        <v>145</v>
      </c>
      <c r="E107" t="s">
        <v>4</v>
      </c>
      <c r="F107" t="s">
        <v>146</v>
      </c>
      <c r="G107" t="s">
        <v>6</v>
      </c>
      <c r="H107" t="s">
        <v>151</v>
      </c>
      <c r="I107" t="str">
        <f t="shared" si="2"/>
        <v>PXCBC-F67043LAW</v>
      </c>
      <c r="J107" t="s">
        <v>88</v>
      </c>
      <c r="K107" t="s">
        <v>37</v>
      </c>
      <c r="L107" s="2">
        <v>66.5</v>
      </c>
      <c r="M107" s="7">
        <v>13</v>
      </c>
      <c r="N107" s="3" t="str">
        <f t="shared" si="3"/>
        <v>LAW</v>
      </c>
      <c r="O107" t="s">
        <v>33</v>
      </c>
      <c r="P107" s="4">
        <v>46079</v>
      </c>
      <c r="Q107" t="s">
        <v>11</v>
      </c>
      <c r="R107" t="s">
        <v>2</v>
      </c>
      <c r="S107" t="s">
        <v>12</v>
      </c>
      <c r="T107" s="4">
        <v>46079</v>
      </c>
      <c r="U107" t="s">
        <v>13</v>
      </c>
      <c r="V107" t="s">
        <v>2</v>
      </c>
      <c r="W107" t="s">
        <v>14</v>
      </c>
      <c r="X107" t="s">
        <v>15</v>
      </c>
      <c r="Y107" t="s">
        <v>16</v>
      </c>
      <c r="Z107" t="s">
        <v>17</v>
      </c>
      <c r="AA107" t="s">
        <v>17</v>
      </c>
      <c r="AB107" t="s">
        <v>18</v>
      </c>
      <c r="AC107" t="s">
        <v>19</v>
      </c>
      <c r="AD107" t="s">
        <v>34</v>
      </c>
      <c r="AE107" t="s">
        <v>29</v>
      </c>
      <c r="AF107" t="s">
        <v>21</v>
      </c>
      <c r="AG107" s="5">
        <v>66.5</v>
      </c>
      <c r="AH107" s="2">
        <v>864.5</v>
      </c>
      <c r="AI107" t="s">
        <v>22</v>
      </c>
      <c r="AJ107" s="4">
        <v>46079</v>
      </c>
      <c r="AK107" s="4">
        <v>46084</v>
      </c>
      <c r="AL107" s="4">
        <v>46079</v>
      </c>
      <c r="AM107" t="s">
        <v>2</v>
      </c>
      <c r="AN107" t="s">
        <v>2</v>
      </c>
      <c r="AO107" t="s">
        <v>23</v>
      </c>
    </row>
    <row r="108" spans="1:41" x14ac:dyDescent="0.2">
      <c r="A108" t="s">
        <v>0</v>
      </c>
      <c r="B108" t="s">
        <v>1</v>
      </c>
      <c r="C108" t="s">
        <v>2</v>
      </c>
      <c r="D108" t="s">
        <v>145</v>
      </c>
      <c r="E108" t="s">
        <v>4</v>
      </c>
      <c r="F108" t="s">
        <v>146</v>
      </c>
      <c r="G108" t="s">
        <v>6</v>
      </c>
      <c r="H108" t="s">
        <v>151</v>
      </c>
      <c r="I108" t="str">
        <f t="shared" si="2"/>
        <v>PXCBC-F67043KAN</v>
      </c>
      <c r="J108" t="s">
        <v>88</v>
      </c>
      <c r="K108" t="s">
        <v>37</v>
      </c>
      <c r="L108" s="2">
        <v>66.5</v>
      </c>
      <c r="M108" s="7">
        <v>15</v>
      </c>
      <c r="N108" s="3" t="str">
        <f t="shared" si="3"/>
        <v>KAN</v>
      </c>
      <c r="O108" t="s">
        <v>62</v>
      </c>
      <c r="P108" s="4">
        <v>46079</v>
      </c>
      <c r="Q108" t="s">
        <v>11</v>
      </c>
      <c r="R108" t="s">
        <v>2</v>
      </c>
      <c r="S108" t="s">
        <v>12</v>
      </c>
      <c r="T108" s="4">
        <v>46079</v>
      </c>
      <c r="U108" t="s">
        <v>13</v>
      </c>
      <c r="V108" t="s">
        <v>2</v>
      </c>
      <c r="W108" t="s">
        <v>14</v>
      </c>
      <c r="X108" t="s">
        <v>15</v>
      </c>
      <c r="Y108" t="s">
        <v>16</v>
      </c>
      <c r="Z108" t="s">
        <v>17</v>
      </c>
      <c r="AA108" t="s">
        <v>17</v>
      </c>
      <c r="AB108" t="s">
        <v>18</v>
      </c>
      <c r="AC108" t="s">
        <v>19</v>
      </c>
      <c r="AD108" t="s">
        <v>34</v>
      </c>
      <c r="AE108" t="s">
        <v>71</v>
      </c>
      <c r="AF108" t="s">
        <v>21</v>
      </c>
      <c r="AG108" s="5">
        <v>66.5</v>
      </c>
      <c r="AH108" s="2">
        <v>997.5</v>
      </c>
      <c r="AI108" t="s">
        <v>22</v>
      </c>
      <c r="AJ108" s="4">
        <v>46079</v>
      </c>
      <c r="AK108" s="4">
        <v>46084</v>
      </c>
      <c r="AL108" s="4">
        <v>46079</v>
      </c>
      <c r="AM108" t="s">
        <v>2</v>
      </c>
      <c r="AN108" t="s">
        <v>2</v>
      </c>
      <c r="AO108" t="s">
        <v>23</v>
      </c>
    </row>
    <row r="109" spans="1:41" x14ac:dyDescent="0.2">
      <c r="A109" t="s">
        <v>0</v>
      </c>
      <c r="B109" t="s">
        <v>1</v>
      </c>
      <c r="C109" t="s">
        <v>2</v>
      </c>
      <c r="D109" t="s">
        <v>145</v>
      </c>
      <c r="E109" t="s">
        <v>4</v>
      </c>
      <c r="F109" t="s">
        <v>146</v>
      </c>
      <c r="G109" t="s">
        <v>6</v>
      </c>
      <c r="H109" t="s">
        <v>151</v>
      </c>
      <c r="I109" t="str">
        <f t="shared" si="2"/>
        <v>PXCBC-F67043GAE</v>
      </c>
      <c r="J109" t="s">
        <v>88</v>
      </c>
      <c r="K109" t="s">
        <v>37</v>
      </c>
      <c r="L109" s="2">
        <v>66.5</v>
      </c>
      <c r="M109" s="7">
        <v>66</v>
      </c>
      <c r="N109" s="3" t="str">
        <f t="shared" si="3"/>
        <v>GAE</v>
      </c>
      <c r="O109" t="s">
        <v>81</v>
      </c>
      <c r="P109" s="4">
        <v>46079</v>
      </c>
      <c r="Q109" t="s">
        <v>11</v>
      </c>
      <c r="R109" t="s">
        <v>2</v>
      </c>
      <c r="S109" t="s">
        <v>12</v>
      </c>
      <c r="T109" s="4">
        <v>46079</v>
      </c>
      <c r="U109" t="s">
        <v>13</v>
      </c>
      <c r="V109" t="s">
        <v>2</v>
      </c>
      <c r="W109" t="s">
        <v>14</v>
      </c>
      <c r="X109" t="s">
        <v>15</v>
      </c>
      <c r="Y109" t="s">
        <v>16</v>
      </c>
      <c r="Z109" t="s">
        <v>17</v>
      </c>
      <c r="AA109" t="s">
        <v>17</v>
      </c>
      <c r="AB109" t="s">
        <v>18</v>
      </c>
      <c r="AC109" t="s">
        <v>19</v>
      </c>
      <c r="AD109" t="s">
        <v>34</v>
      </c>
      <c r="AE109" t="s">
        <v>12</v>
      </c>
      <c r="AF109" t="s">
        <v>21</v>
      </c>
      <c r="AG109" s="5">
        <v>66.5</v>
      </c>
      <c r="AH109" s="2">
        <v>4389</v>
      </c>
      <c r="AI109" t="s">
        <v>22</v>
      </c>
      <c r="AJ109" s="4">
        <v>46079</v>
      </c>
      <c r="AK109" s="4">
        <v>46084</v>
      </c>
      <c r="AL109" s="4">
        <v>46079</v>
      </c>
      <c r="AM109" t="s">
        <v>2</v>
      </c>
      <c r="AN109" t="s">
        <v>2</v>
      </c>
      <c r="AO109" t="s">
        <v>23</v>
      </c>
    </row>
    <row r="110" spans="1:41" x14ac:dyDescent="0.2">
      <c r="A110" t="s">
        <v>0</v>
      </c>
      <c r="B110" t="s">
        <v>1</v>
      </c>
      <c r="C110" t="s">
        <v>2</v>
      </c>
      <c r="D110" t="s">
        <v>145</v>
      </c>
      <c r="E110" t="s">
        <v>4</v>
      </c>
      <c r="F110" t="s">
        <v>146</v>
      </c>
      <c r="G110" t="s">
        <v>6</v>
      </c>
      <c r="H110" t="s">
        <v>151</v>
      </c>
      <c r="I110" t="str">
        <f t="shared" si="2"/>
        <v>PXCBC-F67043CAW</v>
      </c>
      <c r="J110" t="s">
        <v>88</v>
      </c>
      <c r="K110" t="s">
        <v>37</v>
      </c>
      <c r="L110" s="2">
        <v>66.5</v>
      </c>
      <c r="M110" s="7">
        <v>42</v>
      </c>
      <c r="N110" s="3" t="str">
        <f t="shared" si="3"/>
        <v>CAW</v>
      </c>
      <c r="O110" t="s">
        <v>63</v>
      </c>
      <c r="P110" s="4">
        <v>46079</v>
      </c>
      <c r="Q110" t="s">
        <v>11</v>
      </c>
      <c r="R110" t="s">
        <v>2</v>
      </c>
      <c r="S110" t="s">
        <v>12</v>
      </c>
      <c r="T110" s="4">
        <v>46079</v>
      </c>
      <c r="U110" t="s">
        <v>13</v>
      </c>
      <c r="V110" t="s">
        <v>2</v>
      </c>
      <c r="W110" t="s">
        <v>14</v>
      </c>
      <c r="X110" t="s">
        <v>15</v>
      </c>
      <c r="Y110" t="s">
        <v>16</v>
      </c>
      <c r="Z110" t="s">
        <v>17</v>
      </c>
      <c r="AA110" t="s">
        <v>17</v>
      </c>
      <c r="AB110" t="s">
        <v>18</v>
      </c>
      <c r="AC110" t="s">
        <v>19</v>
      </c>
      <c r="AD110" t="s">
        <v>34</v>
      </c>
      <c r="AE110" t="s">
        <v>26</v>
      </c>
      <c r="AF110" t="s">
        <v>21</v>
      </c>
      <c r="AG110" s="5">
        <v>66.5</v>
      </c>
      <c r="AH110" s="2">
        <v>2793</v>
      </c>
      <c r="AI110" t="s">
        <v>22</v>
      </c>
      <c r="AJ110" s="4">
        <v>46079</v>
      </c>
      <c r="AK110" s="4">
        <v>46084</v>
      </c>
      <c r="AL110" s="4">
        <v>46079</v>
      </c>
      <c r="AM110" t="s">
        <v>2</v>
      </c>
      <c r="AN110" t="s">
        <v>2</v>
      </c>
      <c r="AO110" t="s">
        <v>23</v>
      </c>
    </row>
    <row r="111" spans="1:41" x14ac:dyDescent="0.2">
      <c r="A111" t="s">
        <v>0</v>
      </c>
      <c r="B111" t="s">
        <v>1</v>
      </c>
      <c r="C111" t="s">
        <v>2</v>
      </c>
      <c r="D111" t="s">
        <v>145</v>
      </c>
      <c r="E111" t="s">
        <v>4</v>
      </c>
      <c r="F111" t="s">
        <v>146</v>
      </c>
      <c r="G111" t="s">
        <v>6</v>
      </c>
      <c r="H111" t="s">
        <v>152</v>
      </c>
      <c r="I111" t="str">
        <f t="shared" si="2"/>
        <v>PXCBS-F67066LZZ</v>
      </c>
      <c r="J111" t="s">
        <v>134</v>
      </c>
      <c r="K111" t="s">
        <v>135</v>
      </c>
      <c r="L111" s="2">
        <v>108</v>
      </c>
      <c r="M111" s="7">
        <v>42</v>
      </c>
      <c r="N111" s="3" t="str">
        <f t="shared" si="3"/>
        <v>LZZ</v>
      </c>
      <c r="O111" t="s">
        <v>83</v>
      </c>
      <c r="P111" s="4">
        <v>46079</v>
      </c>
      <c r="Q111" t="s">
        <v>11</v>
      </c>
      <c r="R111" t="s">
        <v>2</v>
      </c>
      <c r="S111" t="s">
        <v>12</v>
      </c>
      <c r="T111" s="4">
        <v>46079</v>
      </c>
      <c r="U111" t="s">
        <v>13</v>
      </c>
      <c r="V111" t="s">
        <v>2</v>
      </c>
      <c r="W111" t="s">
        <v>14</v>
      </c>
      <c r="X111" t="s">
        <v>15</v>
      </c>
      <c r="Y111" t="s">
        <v>16</v>
      </c>
      <c r="Z111" t="s">
        <v>17</v>
      </c>
      <c r="AA111" t="s">
        <v>17</v>
      </c>
      <c r="AB111" t="s">
        <v>18</v>
      </c>
      <c r="AC111" t="s">
        <v>19</v>
      </c>
      <c r="AD111" t="s">
        <v>34</v>
      </c>
      <c r="AE111" t="s">
        <v>12</v>
      </c>
      <c r="AF111" t="s">
        <v>21</v>
      </c>
      <c r="AG111" s="5">
        <v>108</v>
      </c>
      <c r="AH111" s="2">
        <v>4536</v>
      </c>
      <c r="AI111" t="s">
        <v>22</v>
      </c>
      <c r="AJ111" s="4">
        <v>46079</v>
      </c>
      <c r="AK111" s="4">
        <v>46084</v>
      </c>
      <c r="AL111" s="4">
        <v>46079</v>
      </c>
      <c r="AM111" t="s">
        <v>2</v>
      </c>
      <c r="AN111" t="s">
        <v>2</v>
      </c>
      <c r="AO111" t="s">
        <v>23</v>
      </c>
    </row>
    <row r="112" spans="1:41" x14ac:dyDescent="0.2">
      <c r="A112" t="s">
        <v>0</v>
      </c>
      <c r="B112" t="s">
        <v>1</v>
      </c>
      <c r="C112" t="s">
        <v>2</v>
      </c>
      <c r="D112" t="s">
        <v>145</v>
      </c>
      <c r="E112" t="s">
        <v>4</v>
      </c>
      <c r="F112" t="s">
        <v>146</v>
      </c>
      <c r="G112" t="s">
        <v>6</v>
      </c>
      <c r="H112" t="s">
        <v>152</v>
      </c>
      <c r="I112" t="str">
        <f t="shared" si="2"/>
        <v>PXCBS-F67066GAU</v>
      </c>
      <c r="J112" t="s">
        <v>134</v>
      </c>
      <c r="K112" t="s">
        <v>135</v>
      </c>
      <c r="L112" s="2">
        <v>108</v>
      </c>
      <c r="M112" s="7">
        <v>22</v>
      </c>
      <c r="N112" s="3" t="str">
        <f t="shared" si="3"/>
        <v>GAU</v>
      </c>
      <c r="O112" t="s">
        <v>94</v>
      </c>
      <c r="P112" s="4">
        <v>46079</v>
      </c>
      <c r="Q112" t="s">
        <v>11</v>
      </c>
      <c r="R112" t="s">
        <v>2</v>
      </c>
      <c r="S112" t="s">
        <v>12</v>
      </c>
      <c r="T112" s="4">
        <v>46079</v>
      </c>
      <c r="U112" t="s">
        <v>13</v>
      </c>
      <c r="V112" t="s">
        <v>2</v>
      </c>
      <c r="W112" t="s">
        <v>14</v>
      </c>
      <c r="X112" t="s">
        <v>15</v>
      </c>
      <c r="Y112" t="s">
        <v>16</v>
      </c>
      <c r="Z112" t="s">
        <v>17</v>
      </c>
      <c r="AA112" t="s">
        <v>17</v>
      </c>
      <c r="AB112" t="s">
        <v>18</v>
      </c>
      <c r="AC112" t="s">
        <v>19</v>
      </c>
      <c r="AD112" t="s">
        <v>34</v>
      </c>
      <c r="AE112" t="s">
        <v>26</v>
      </c>
      <c r="AF112" t="s">
        <v>21</v>
      </c>
      <c r="AG112" s="5">
        <v>108</v>
      </c>
      <c r="AH112" s="2">
        <v>2376</v>
      </c>
      <c r="AI112" t="s">
        <v>22</v>
      </c>
      <c r="AJ112" s="4">
        <v>46079</v>
      </c>
      <c r="AK112" s="4">
        <v>46084</v>
      </c>
      <c r="AL112" s="4">
        <v>46079</v>
      </c>
      <c r="AM112" t="s">
        <v>2</v>
      </c>
      <c r="AN112" t="s">
        <v>2</v>
      </c>
      <c r="AO112" t="s">
        <v>23</v>
      </c>
    </row>
    <row r="113" spans="1:41" x14ac:dyDescent="0.2">
      <c r="A113" t="s">
        <v>0</v>
      </c>
      <c r="B113" t="s">
        <v>1</v>
      </c>
      <c r="C113" t="s">
        <v>2</v>
      </c>
      <c r="D113" t="s">
        <v>145</v>
      </c>
      <c r="E113" t="s">
        <v>4</v>
      </c>
      <c r="F113" t="s">
        <v>146</v>
      </c>
      <c r="G113" t="s">
        <v>6</v>
      </c>
      <c r="H113" t="s">
        <v>153</v>
      </c>
      <c r="I113" t="str">
        <f t="shared" si="2"/>
        <v>PXCBS-F67080LZZ</v>
      </c>
      <c r="J113" t="s">
        <v>92</v>
      </c>
      <c r="K113" t="s">
        <v>93</v>
      </c>
      <c r="L113" s="2">
        <v>79</v>
      </c>
      <c r="M113" s="7">
        <v>83</v>
      </c>
      <c r="N113" s="3" t="str">
        <f t="shared" si="3"/>
        <v>LZZ</v>
      </c>
      <c r="O113" t="s">
        <v>83</v>
      </c>
      <c r="P113" s="4">
        <v>46079</v>
      </c>
      <c r="Q113" t="s">
        <v>11</v>
      </c>
      <c r="R113" t="s">
        <v>2</v>
      </c>
      <c r="S113" t="s">
        <v>12</v>
      </c>
      <c r="T113" s="4">
        <v>46079</v>
      </c>
      <c r="U113" t="s">
        <v>13</v>
      </c>
      <c r="V113" t="s">
        <v>2</v>
      </c>
      <c r="W113" t="s">
        <v>14</v>
      </c>
      <c r="X113" t="s">
        <v>15</v>
      </c>
      <c r="Y113" t="s">
        <v>16</v>
      </c>
      <c r="Z113" t="s">
        <v>17</v>
      </c>
      <c r="AA113" t="s">
        <v>17</v>
      </c>
      <c r="AB113" t="s">
        <v>18</v>
      </c>
      <c r="AC113" t="s">
        <v>19</v>
      </c>
      <c r="AD113" t="s">
        <v>34</v>
      </c>
      <c r="AE113" t="s">
        <v>12</v>
      </c>
      <c r="AF113" t="s">
        <v>21</v>
      </c>
      <c r="AG113" s="5">
        <v>79</v>
      </c>
      <c r="AH113" s="2">
        <v>6557</v>
      </c>
      <c r="AI113" t="s">
        <v>22</v>
      </c>
      <c r="AJ113" s="4">
        <v>46079</v>
      </c>
      <c r="AK113" s="4">
        <v>46084</v>
      </c>
      <c r="AL113" s="4">
        <v>46079</v>
      </c>
      <c r="AM113" t="s">
        <v>2</v>
      </c>
      <c r="AN113" t="s">
        <v>2</v>
      </c>
      <c r="AO113" t="s">
        <v>23</v>
      </c>
    </row>
    <row r="114" spans="1:41" x14ac:dyDescent="0.2">
      <c r="A114" t="s">
        <v>0</v>
      </c>
      <c r="B114" t="s">
        <v>1</v>
      </c>
      <c r="C114" t="s">
        <v>2</v>
      </c>
      <c r="D114" t="s">
        <v>145</v>
      </c>
      <c r="E114" t="s">
        <v>4</v>
      </c>
      <c r="F114" t="s">
        <v>146</v>
      </c>
      <c r="G114" t="s">
        <v>6</v>
      </c>
      <c r="H114" t="s">
        <v>153</v>
      </c>
      <c r="I114" t="str">
        <f t="shared" si="2"/>
        <v>PXCBS-F67080GAU</v>
      </c>
      <c r="J114" t="s">
        <v>92</v>
      </c>
      <c r="K114" t="s">
        <v>93</v>
      </c>
      <c r="L114" s="2">
        <v>79</v>
      </c>
      <c r="M114" s="7">
        <v>114</v>
      </c>
      <c r="N114" s="3" t="str">
        <f t="shared" si="3"/>
        <v>GAU</v>
      </c>
      <c r="O114" t="s">
        <v>94</v>
      </c>
      <c r="P114" s="4">
        <v>46079</v>
      </c>
      <c r="Q114" t="s">
        <v>11</v>
      </c>
      <c r="R114" t="s">
        <v>2</v>
      </c>
      <c r="S114" t="s">
        <v>12</v>
      </c>
      <c r="T114" s="4">
        <v>46079</v>
      </c>
      <c r="U114" t="s">
        <v>13</v>
      </c>
      <c r="V114" t="s">
        <v>2</v>
      </c>
      <c r="W114" t="s">
        <v>14</v>
      </c>
      <c r="X114" t="s">
        <v>15</v>
      </c>
      <c r="Y114" t="s">
        <v>16</v>
      </c>
      <c r="Z114" t="s">
        <v>17</v>
      </c>
      <c r="AA114" t="s">
        <v>17</v>
      </c>
      <c r="AB114" t="s">
        <v>18</v>
      </c>
      <c r="AC114" t="s">
        <v>19</v>
      </c>
      <c r="AD114" t="s">
        <v>34</v>
      </c>
      <c r="AE114" t="s">
        <v>26</v>
      </c>
      <c r="AF114" t="s">
        <v>21</v>
      </c>
      <c r="AG114" s="5">
        <v>79</v>
      </c>
      <c r="AH114" s="2">
        <v>9006</v>
      </c>
      <c r="AI114" t="s">
        <v>22</v>
      </c>
      <c r="AJ114" s="4">
        <v>46079</v>
      </c>
      <c r="AK114" s="4">
        <v>46084</v>
      </c>
      <c r="AL114" s="4">
        <v>46079</v>
      </c>
      <c r="AM114" t="s">
        <v>2</v>
      </c>
      <c r="AN114" t="s">
        <v>2</v>
      </c>
      <c r="AO114" t="s">
        <v>23</v>
      </c>
    </row>
    <row r="115" spans="1:41" x14ac:dyDescent="0.2">
      <c r="A115" t="s">
        <v>0</v>
      </c>
      <c r="B115" t="s">
        <v>1</v>
      </c>
      <c r="C115" t="s">
        <v>2</v>
      </c>
      <c r="D115" t="s">
        <v>145</v>
      </c>
      <c r="E115" t="s">
        <v>4</v>
      </c>
      <c r="F115" t="s">
        <v>146</v>
      </c>
      <c r="G115" t="s">
        <v>6</v>
      </c>
      <c r="H115" t="s">
        <v>154</v>
      </c>
      <c r="I115" t="str">
        <f t="shared" si="2"/>
        <v>PXCBT-F65101KBE</v>
      </c>
      <c r="J115" t="s">
        <v>53</v>
      </c>
      <c r="K115" t="s">
        <v>44</v>
      </c>
      <c r="L115" s="2">
        <v>20.9</v>
      </c>
      <c r="M115" s="7">
        <v>3</v>
      </c>
      <c r="N115" s="3" t="str">
        <f t="shared" si="3"/>
        <v>KBE</v>
      </c>
      <c r="O115" t="s">
        <v>54</v>
      </c>
      <c r="P115" s="4">
        <v>46079</v>
      </c>
      <c r="Q115" t="s">
        <v>11</v>
      </c>
      <c r="R115" t="s">
        <v>2</v>
      </c>
      <c r="S115" t="s">
        <v>12</v>
      </c>
      <c r="T115" s="4">
        <v>46079</v>
      </c>
      <c r="U115" t="s">
        <v>13</v>
      </c>
      <c r="V115" t="s">
        <v>2</v>
      </c>
      <c r="W115" t="s">
        <v>14</v>
      </c>
      <c r="X115" t="s">
        <v>15</v>
      </c>
      <c r="Y115" t="s">
        <v>16</v>
      </c>
      <c r="Z115" t="s">
        <v>17</v>
      </c>
      <c r="AA115" t="s">
        <v>17</v>
      </c>
      <c r="AB115" t="s">
        <v>18</v>
      </c>
      <c r="AC115" t="s">
        <v>19</v>
      </c>
      <c r="AD115" t="s">
        <v>25</v>
      </c>
      <c r="AE115" t="s">
        <v>45</v>
      </c>
      <c r="AF115" t="s">
        <v>21</v>
      </c>
      <c r="AG115" s="5">
        <v>20.9</v>
      </c>
      <c r="AH115" s="2">
        <v>62.7</v>
      </c>
      <c r="AI115" t="s">
        <v>22</v>
      </c>
      <c r="AJ115" s="4">
        <v>46079</v>
      </c>
      <c r="AK115" s="4">
        <v>46084</v>
      </c>
      <c r="AL115" s="4">
        <v>46079</v>
      </c>
      <c r="AM115" t="s">
        <v>2</v>
      </c>
      <c r="AN115" t="s">
        <v>2</v>
      </c>
      <c r="AO115" t="s">
        <v>23</v>
      </c>
    </row>
    <row r="116" spans="1:41" x14ac:dyDescent="0.2">
      <c r="A116" t="s">
        <v>0</v>
      </c>
      <c r="B116" t="s">
        <v>1</v>
      </c>
      <c r="C116" t="s">
        <v>2</v>
      </c>
      <c r="D116" t="s">
        <v>145</v>
      </c>
      <c r="E116" t="s">
        <v>4</v>
      </c>
      <c r="F116" t="s">
        <v>146</v>
      </c>
      <c r="G116" t="s">
        <v>6</v>
      </c>
      <c r="H116" t="s">
        <v>154</v>
      </c>
      <c r="I116" t="str">
        <f t="shared" si="2"/>
        <v>PXCBT-F65101KBE</v>
      </c>
      <c r="J116" t="s">
        <v>53</v>
      </c>
      <c r="K116" t="s">
        <v>44</v>
      </c>
      <c r="L116" s="2">
        <v>20.9</v>
      </c>
      <c r="M116" s="7">
        <v>9</v>
      </c>
      <c r="N116" s="3" t="str">
        <f t="shared" si="3"/>
        <v>KBE</v>
      </c>
      <c r="O116" t="s">
        <v>55</v>
      </c>
      <c r="P116" s="4">
        <v>46079</v>
      </c>
      <c r="Q116" t="s">
        <v>11</v>
      </c>
      <c r="R116" t="s">
        <v>2</v>
      </c>
      <c r="S116" t="s">
        <v>12</v>
      </c>
      <c r="T116" s="4">
        <v>46079</v>
      </c>
      <c r="U116" t="s">
        <v>13</v>
      </c>
      <c r="V116" t="s">
        <v>2</v>
      </c>
      <c r="W116" t="s">
        <v>14</v>
      </c>
      <c r="X116" t="s">
        <v>15</v>
      </c>
      <c r="Y116" t="s">
        <v>16</v>
      </c>
      <c r="Z116" t="s">
        <v>17</v>
      </c>
      <c r="AA116" t="s">
        <v>17</v>
      </c>
      <c r="AB116" t="s">
        <v>18</v>
      </c>
      <c r="AC116" t="s">
        <v>19</v>
      </c>
      <c r="AD116" t="s">
        <v>47</v>
      </c>
      <c r="AE116" t="s">
        <v>29</v>
      </c>
      <c r="AF116" t="s">
        <v>21</v>
      </c>
      <c r="AG116" s="5">
        <v>20.9</v>
      </c>
      <c r="AH116" s="2">
        <v>188.1</v>
      </c>
      <c r="AI116" t="s">
        <v>22</v>
      </c>
      <c r="AJ116" s="4">
        <v>46079</v>
      </c>
      <c r="AK116" s="4">
        <v>46084</v>
      </c>
      <c r="AL116" s="4">
        <v>46079</v>
      </c>
      <c r="AM116" t="s">
        <v>2</v>
      </c>
      <c r="AN116" t="s">
        <v>2</v>
      </c>
      <c r="AO116" t="s">
        <v>23</v>
      </c>
    </row>
    <row r="117" spans="1:41" x14ac:dyDescent="0.2">
      <c r="A117" t="s">
        <v>0</v>
      </c>
      <c r="B117" t="s">
        <v>1</v>
      </c>
      <c r="C117" t="s">
        <v>2</v>
      </c>
      <c r="D117" t="s">
        <v>145</v>
      </c>
      <c r="E117" t="s">
        <v>4</v>
      </c>
      <c r="F117" t="s">
        <v>146</v>
      </c>
      <c r="G117" t="s">
        <v>6</v>
      </c>
      <c r="H117" t="s">
        <v>154</v>
      </c>
      <c r="I117" t="str">
        <f t="shared" si="2"/>
        <v>PXCBT-F65101KBE</v>
      </c>
      <c r="J117" t="s">
        <v>53</v>
      </c>
      <c r="K117" t="s">
        <v>44</v>
      </c>
      <c r="L117" s="2">
        <v>20.9</v>
      </c>
      <c r="M117" s="7">
        <v>11</v>
      </c>
      <c r="N117" s="3" t="str">
        <f t="shared" si="3"/>
        <v>KBE</v>
      </c>
      <c r="O117" t="s">
        <v>56</v>
      </c>
      <c r="P117" s="4">
        <v>46079</v>
      </c>
      <c r="Q117" t="s">
        <v>11</v>
      </c>
      <c r="R117" t="s">
        <v>2</v>
      </c>
      <c r="S117" t="s">
        <v>12</v>
      </c>
      <c r="T117" s="4">
        <v>46079</v>
      </c>
      <c r="U117" t="s">
        <v>13</v>
      </c>
      <c r="V117" t="s">
        <v>2</v>
      </c>
      <c r="W117" t="s">
        <v>14</v>
      </c>
      <c r="X117" t="s">
        <v>15</v>
      </c>
      <c r="Y117" t="s">
        <v>16</v>
      </c>
      <c r="Z117" t="s">
        <v>17</v>
      </c>
      <c r="AA117" t="s">
        <v>17</v>
      </c>
      <c r="AB117" t="s">
        <v>18</v>
      </c>
      <c r="AC117" t="s">
        <v>19</v>
      </c>
      <c r="AD117" t="s">
        <v>49</v>
      </c>
      <c r="AE117" t="s">
        <v>26</v>
      </c>
      <c r="AF117" t="s">
        <v>21</v>
      </c>
      <c r="AG117" s="5">
        <v>20.9</v>
      </c>
      <c r="AH117" s="2">
        <v>229.9</v>
      </c>
      <c r="AI117" t="s">
        <v>22</v>
      </c>
      <c r="AJ117" s="4">
        <v>46079</v>
      </c>
      <c r="AK117" s="4">
        <v>46084</v>
      </c>
      <c r="AL117" s="4">
        <v>46079</v>
      </c>
      <c r="AM117" t="s">
        <v>2</v>
      </c>
      <c r="AN117" t="s">
        <v>2</v>
      </c>
      <c r="AO117" t="s">
        <v>23</v>
      </c>
    </row>
    <row r="118" spans="1:41" x14ac:dyDescent="0.2">
      <c r="A118" t="s">
        <v>0</v>
      </c>
      <c r="B118" t="s">
        <v>1</v>
      </c>
      <c r="C118" t="s">
        <v>2</v>
      </c>
      <c r="D118" t="s">
        <v>145</v>
      </c>
      <c r="E118" t="s">
        <v>4</v>
      </c>
      <c r="F118" t="s">
        <v>146</v>
      </c>
      <c r="G118" t="s">
        <v>6</v>
      </c>
      <c r="H118" t="s">
        <v>154</v>
      </c>
      <c r="I118" t="str">
        <f t="shared" si="2"/>
        <v>PXCBT-F65101KBE</v>
      </c>
      <c r="J118" t="s">
        <v>53</v>
      </c>
      <c r="K118" t="s">
        <v>44</v>
      </c>
      <c r="L118" s="2">
        <v>20.9</v>
      </c>
      <c r="M118" s="7">
        <v>7</v>
      </c>
      <c r="N118" s="3" t="str">
        <f t="shared" si="3"/>
        <v>KBE</v>
      </c>
      <c r="O118" t="s">
        <v>57</v>
      </c>
      <c r="P118" s="4">
        <v>46079</v>
      </c>
      <c r="Q118" t="s">
        <v>11</v>
      </c>
      <c r="R118" t="s">
        <v>2</v>
      </c>
      <c r="S118" t="s">
        <v>12</v>
      </c>
      <c r="T118" s="4">
        <v>46079</v>
      </c>
      <c r="U118" t="s">
        <v>13</v>
      </c>
      <c r="V118" t="s">
        <v>2</v>
      </c>
      <c r="W118" t="s">
        <v>14</v>
      </c>
      <c r="X118" t="s">
        <v>15</v>
      </c>
      <c r="Y118" t="s">
        <v>16</v>
      </c>
      <c r="Z118" t="s">
        <v>17</v>
      </c>
      <c r="AA118" t="s">
        <v>17</v>
      </c>
      <c r="AB118" t="s">
        <v>18</v>
      </c>
      <c r="AC118" t="s">
        <v>19</v>
      </c>
      <c r="AD118" t="s">
        <v>51</v>
      </c>
      <c r="AE118" t="s">
        <v>12</v>
      </c>
      <c r="AF118" t="s">
        <v>21</v>
      </c>
      <c r="AG118" s="5">
        <v>20.9</v>
      </c>
      <c r="AH118" s="2">
        <v>146.30000000000001</v>
      </c>
      <c r="AI118" t="s">
        <v>22</v>
      </c>
      <c r="AJ118" s="4">
        <v>46079</v>
      </c>
      <c r="AK118" s="4">
        <v>46084</v>
      </c>
      <c r="AL118" s="4">
        <v>46079</v>
      </c>
      <c r="AM118" t="s">
        <v>2</v>
      </c>
      <c r="AN118" t="s">
        <v>2</v>
      </c>
      <c r="AO118" t="s">
        <v>23</v>
      </c>
    </row>
    <row r="119" spans="1:41" x14ac:dyDescent="0.2">
      <c r="A119" t="s">
        <v>0</v>
      </c>
      <c r="B119" t="s">
        <v>1</v>
      </c>
      <c r="C119" t="s">
        <v>2</v>
      </c>
      <c r="D119" t="s">
        <v>145</v>
      </c>
      <c r="E119" t="s">
        <v>4</v>
      </c>
      <c r="F119" t="s">
        <v>146</v>
      </c>
      <c r="G119" t="s">
        <v>6</v>
      </c>
      <c r="H119" t="s">
        <v>155</v>
      </c>
      <c r="I119" t="str">
        <f t="shared" si="2"/>
        <v>PXCDS-F63023LAW</v>
      </c>
      <c r="J119" t="s">
        <v>156</v>
      </c>
      <c r="K119" t="s">
        <v>142</v>
      </c>
      <c r="L119" s="2">
        <v>85</v>
      </c>
      <c r="M119" s="7">
        <v>52</v>
      </c>
      <c r="N119" s="3" t="str">
        <f t="shared" si="3"/>
        <v>LAW</v>
      </c>
      <c r="O119" t="s">
        <v>33</v>
      </c>
      <c r="P119" s="4">
        <v>46079</v>
      </c>
      <c r="Q119" t="s">
        <v>11</v>
      </c>
      <c r="R119" t="s">
        <v>2</v>
      </c>
      <c r="S119" t="s">
        <v>12</v>
      </c>
      <c r="T119" s="4">
        <v>46079</v>
      </c>
      <c r="U119" t="s">
        <v>13</v>
      </c>
      <c r="V119" t="s">
        <v>2</v>
      </c>
      <c r="W119" t="s">
        <v>14</v>
      </c>
      <c r="X119" t="s">
        <v>15</v>
      </c>
      <c r="Y119" t="s">
        <v>16</v>
      </c>
      <c r="Z119" t="s">
        <v>17</v>
      </c>
      <c r="AA119" t="s">
        <v>17</v>
      </c>
      <c r="AB119" t="s">
        <v>18</v>
      </c>
      <c r="AC119" t="s">
        <v>19</v>
      </c>
      <c r="AD119" t="s">
        <v>34</v>
      </c>
      <c r="AE119" t="s">
        <v>12</v>
      </c>
      <c r="AF119" t="s">
        <v>21</v>
      </c>
      <c r="AG119" s="5">
        <v>85</v>
      </c>
      <c r="AH119" s="2">
        <v>4420</v>
      </c>
      <c r="AI119" t="s">
        <v>22</v>
      </c>
      <c r="AJ119" s="4">
        <v>46079</v>
      </c>
      <c r="AK119" s="4">
        <v>46084</v>
      </c>
      <c r="AL119" s="4">
        <v>46079</v>
      </c>
      <c r="AM119" t="s">
        <v>2</v>
      </c>
      <c r="AN119" t="s">
        <v>2</v>
      </c>
      <c r="AO119" t="s">
        <v>23</v>
      </c>
    </row>
    <row r="120" spans="1:41" x14ac:dyDescent="0.2">
      <c r="A120" t="s">
        <v>0</v>
      </c>
      <c r="B120" t="s">
        <v>1</v>
      </c>
      <c r="C120" t="s">
        <v>2</v>
      </c>
      <c r="D120" t="s">
        <v>145</v>
      </c>
      <c r="E120" t="s">
        <v>4</v>
      </c>
      <c r="F120" t="s">
        <v>146</v>
      </c>
      <c r="G120" t="s">
        <v>6</v>
      </c>
      <c r="H120" t="s">
        <v>157</v>
      </c>
      <c r="I120" t="str">
        <f t="shared" si="2"/>
        <v>PXCDS-F63024CAB</v>
      </c>
      <c r="J120" t="s">
        <v>101</v>
      </c>
      <c r="K120" t="s">
        <v>86</v>
      </c>
      <c r="L120" s="2">
        <v>1</v>
      </c>
      <c r="M120" s="7">
        <v>10</v>
      </c>
      <c r="N120" s="3" t="str">
        <f t="shared" si="3"/>
        <v>CAB</v>
      </c>
      <c r="O120" t="s">
        <v>40</v>
      </c>
      <c r="P120" s="4">
        <v>46079</v>
      </c>
      <c r="Q120" t="s">
        <v>11</v>
      </c>
      <c r="R120" t="s">
        <v>2</v>
      </c>
      <c r="S120" t="s">
        <v>12</v>
      </c>
      <c r="T120" s="4">
        <v>46079</v>
      </c>
      <c r="U120" t="s">
        <v>13</v>
      </c>
      <c r="V120" t="s">
        <v>2</v>
      </c>
      <c r="W120" t="s">
        <v>14</v>
      </c>
      <c r="X120" t="s">
        <v>15</v>
      </c>
      <c r="Y120" t="s">
        <v>16</v>
      </c>
      <c r="Z120" t="s">
        <v>17</v>
      </c>
      <c r="AA120" t="s">
        <v>17</v>
      </c>
      <c r="AB120" t="s">
        <v>18</v>
      </c>
      <c r="AC120" t="s">
        <v>19</v>
      </c>
      <c r="AD120" t="s">
        <v>34</v>
      </c>
      <c r="AE120" t="s">
        <v>12</v>
      </c>
      <c r="AF120" t="s">
        <v>21</v>
      </c>
      <c r="AG120" s="5">
        <v>1</v>
      </c>
      <c r="AH120" s="2">
        <v>10</v>
      </c>
      <c r="AI120" t="s">
        <v>22</v>
      </c>
      <c r="AJ120" s="4">
        <v>46079</v>
      </c>
      <c r="AK120" s="4">
        <v>46084</v>
      </c>
      <c r="AL120" s="4">
        <v>46079</v>
      </c>
      <c r="AM120" t="s">
        <v>2</v>
      </c>
      <c r="AN120" t="s">
        <v>2</v>
      </c>
      <c r="AO120" t="s">
        <v>23</v>
      </c>
    </row>
    <row r="121" spans="1:41" x14ac:dyDescent="0.2">
      <c r="A121" t="s">
        <v>0</v>
      </c>
      <c r="B121" t="s">
        <v>1</v>
      </c>
      <c r="C121" t="s">
        <v>2</v>
      </c>
      <c r="D121" t="s">
        <v>145</v>
      </c>
      <c r="E121" t="s">
        <v>4</v>
      </c>
      <c r="F121" t="s">
        <v>146</v>
      </c>
      <c r="G121" t="s">
        <v>6</v>
      </c>
      <c r="H121" t="s">
        <v>158</v>
      </c>
      <c r="I121" t="str">
        <f t="shared" si="2"/>
        <v>PXCDS-F67008LAW</v>
      </c>
      <c r="J121" t="s">
        <v>31</v>
      </c>
      <c r="K121" t="s">
        <v>32</v>
      </c>
      <c r="L121" s="2">
        <v>85</v>
      </c>
      <c r="M121" s="7">
        <v>82</v>
      </c>
      <c r="N121" s="3" t="str">
        <f t="shared" si="3"/>
        <v>LAW</v>
      </c>
      <c r="O121" t="s">
        <v>33</v>
      </c>
      <c r="P121" s="4">
        <v>46079</v>
      </c>
      <c r="Q121" t="s">
        <v>11</v>
      </c>
      <c r="R121" t="s">
        <v>2</v>
      </c>
      <c r="S121" t="s">
        <v>12</v>
      </c>
      <c r="T121" s="4">
        <v>46079</v>
      </c>
      <c r="U121" t="s">
        <v>13</v>
      </c>
      <c r="V121" t="s">
        <v>2</v>
      </c>
      <c r="W121" t="s">
        <v>14</v>
      </c>
      <c r="X121" t="s">
        <v>15</v>
      </c>
      <c r="Y121" t="s">
        <v>16</v>
      </c>
      <c r="Z121" t="s">
        <v>17</v>
      </c>
      <c r="AA121" t="s">
        <v>17</v>
      </c>
      <c r="AB121" t="s">
        <v>18</v>
      </c>
      <c r="AC121" t="s">
        <v>19</v>
      </c>
      <c r="AD121" t="s">
        <v>34</v>
      </c>
      <c r="AE121" t="s">
        <v>12</v>
      </c>
      <c r="AF121" t="s">
        <v>21</v>
      </c>
      <c r="AG121" s="5">
        <v>85</v>
      </c>
      <c r="AH121" s="2">
        <v>6970</v>
      </c>
      <c r="AI121" t="s">
        <v>22</v>
      </c>
      <c r="AJ121" s="4">
        <v>46079</v>
      </c>
      <c r="AK121" s="4">
        <v>46084</v>
      </c>
      <c r="AL121" s="4">
        <v>46079</v>
      </c>
      <c r="AM121" t="s">
        <v>2</v>
      </c>
      <c r="AN121" t="s">
        <v>2</v>
      </c>
      <c r="AO121" t="s">
        <v>23</v>
      </c>
    </row>
    <row r="122" spans="1:41" x14ac:dyDescent="0.2">
      <c r="A122" t="s">
        <v>0</v>
      </c>
      <c r="B122" t="s">
        <v>1</v>
      </c>
      <c r="C122" t="s">
        <v>2</v>
      </c>
      <c r="D122" t="s">
        <v>145</v>
      </c>
      <c r="E122" t="s">
        <v>4</v>
      </c>
      <c r="F122" t="s">
        <v>146</v>
      </c>
      <c r="G122" t="s">
        <v>6</v>
      </c>
      <c r="H122" t="s">
        <v>158</v>
      </c>
      <c r="I122" t="str">
        <f t="shared" si="2"/>
        <v>PXCDS-F67008CAB</v>
      </c>
      <c r="J122" t="s">
        <v>31</v>
      </c>
      <c r="K122" t="s">
        <v>32</v>
      </c>
      <c r="L122" s="2">
        <v>85</v>
      </c>
      <c r="M122" s="7">
        <v>77</v>
      </c>
      <c r="N122" s="3" t="str">
        <f t="shared" si="3"/>
        <v>CAB</v>
      </c>
      <c r="O122" t="s">
        <v>40</v>
      </c>
      <c r="P122" s="4">
        <v>46079</v>
      </c>
      <c r="Q122" t="s">
        <v>11</v>
      </c>
      <c r="R122" t="s">
        <v>2</v>
      </c>
      <c r="S122" t="s">
        <v>12</v>
      </c>
      <c r="T122" s="4">
        <v>46079</v>
      </c>
      <c r="U122" t="s">
        <v>13</v>
      </c>
      <c r="V122" t="s">
        <v>2</v>
      </c>
      <c r="W122" t="s">
        <v>14</v>
      </c>
      <c r="X122" t="s">
        <v>15</v>
      </c>
      <c r="Y122" t="s">
        <v>16</v>
      </c>
      <c r="Z122" t="s">
        <v>17</v>
      </c>
      <c r="AA122" t="s">
        <v>17</v>
      </c>
      <c r="AB122" t="s">
        <v>18</v>
      </c>
      <c r="AC122" t="s">
        <v>19</v>
      </c>
      <c r="AD122" t="s">
        <v>34</v>
      </c>
      <c r="AE122" t="s">
        <v>26</v>
      </c>
      <c r="AF122" t="s">
        <v>21</v>
      </c>
      <c r="AG122" s="5">
        <v>85</v>
      </c>
      <c r="AH122" s="2">
        <v>6545</v>
      </c>
      <c r="AI122" t="s">
        <v>22</v>
      </c>
      <c r="AJ122" s="4">
        <v>46079</v>
      </c>
      <c r="AK122" s="4">
        <v>46084</v>
      </c>
      <c r="AL122" s="4">
        <v>46079</v>
      </c>
      <c r="AM122" t="s">
        <v>2</v>
      </c>
      <c r="AN122" t="s">
        <v>2</v>
      </c>
      <c r="AO122" t="s">
        <v>23</v>
      </c>
    </row>
    <row r="123" spans="1:41" x14ac:dyDescent="0.2">
      <c r="A123" t="s">
        <v>0</v>
      </c>
      <c r="B123" t="s">
        <v>1</v>
      </c>
      <c r="C123" t="s">
        <v>2</v>
      </c>
      <c r="D123" t="s">
        <v>145</v>
      </c>
      <c r="E123" t="s">
        <v>4</v>
      </c>
      <c r="F123" t="s">
        <v>146</v>
      </c>
      <c r="G123" t="s">
        <v>6</v>
      </c>
      <c r="H123" t="s">
        <v>159</v>
      </c>
      <c r="I123" t="str">
        <f t="shared" si="2"/>
        <v>PXCDS-F67043LAW</v>
      </c>
      <c r="J123" t="s">
        <v>36</v>
      </c>
      <c r="K123" t="s">
        <v>37</v>
      </c>
      <c r="L123" s="2">
        <v>89.5</v>
      </c>
      <c r="M123" s="7">
        <v>86</v>
      </c>
      <c r="N123" s="3" t="str">
        <f t="shared" si="3"/>
        <v>LAW</v>
      </c>
      <c r="O123" t="s">
        <v>33</v>
      </c>
      <c r="P123" s="4">
        <v>46079</v>
      </c>
      <c r="Q123" t="s">
        <v>11</v>
      </c>
      <c r="R123" t="s">
        <v>2</v>
      </c>
      <c r="S123" t="s">
        <v>12</v>
      </c>
      <c r="T123" s="4">
        <v>46079</v>
      </c>
      <c r="U123" t="s">
        <v>13</v>
      </c>
      <c r="V123" t="s">
        <v>2</v>
      </c>
      <c r="W123" t="s">
        <v>14</v>
      </c>
      <c r="X123" t="s">
        <v>15</v>
      </c>
      <c r="Y123" t="s">
        <v>16</v>
      </c>
      <c r="Z123" t="s">
        <v>17</v>
      </c>
      <c r="AA123" t="s">
        <v>17</v>
      </c>
      <c r="AB123" t="s">
        <v>18</v>
      </c>
      <c r="AC123" t="s">
        <v>19</v>
      </c>
      <c r="AD123" t="s">
        <v>34</v>
      </c>
      <c r="AE123" t="s">
        <v>12</v>
      </c>
      <c r="AF123" t="s">
        <v>21</v>
      </c>
      <c r="AG123" s="5">
        <v>89.5</v>
      </c>
      <c r="AH123" s="2">
        <v>7697</v>
      </c>
      <c r="AI123" t="s">
        <v>22</v>
      </c>
      <c r="AJ123" s="4">
        <v>46079</v>
      </c>
      <c r="AK123" s="4">
        <v>46084</v>
      </c>
      <c r="AL123" s="4">
        <v>46079</v>
      </c>
      <c r="AM123" t="s">
        <v>2</v>
      </c>
      <c r="AN123" t="s">
        <v>2</v>
      </c>
      <c r="AO123" t="s">
        <v>23</v>
      </c>
    </row>
    <row r="124" spans="1:41" x14ac:dyDescent="0.2">
      <c r="A124" t="s">
        <v>0</v>
      </c>
      <c r="B124" t="s">
        <v>1</v>
      </c>
      <c r="C124" t="s">
        <v>2</v>
      </c>
      <c r="D124" t="s">
        <v>145</v>
      </c>
      <c r="E124" t="s">
        <v>4</v>
      </c>
      <c r="F124" t="s">
        <v>146</v>
      </c>
      <c r="G124" t="s">
        <v>6</v>
      </c>
      <c r="H124" t="s">
        <v>160</v>
      </c>
      <c r="I124" t="str">
        <f t="shared" si="2"/>
        <v>PXCEI-F63023CAB</v>
      </c>
      <c r="J124" t="s">
        <v>141</v>
      </c>
      <c r="K124" t="s">
        <v>142</v>
      </c>
      <c r="L124" s="2">
        <v>1</v>
      </c>
      <c r="M124" s="7">
        <v>59</v>
      </c>
      <c r="N124" s="3" t="str">
        <f t="shared" si="3"/>
        <v>CAB</v>
      </c>
      <c r="O124" t="s">
        <v>40</v>
      </c>
      <c r="P124" s="4">
        <v>46079</v>
      </c>
      <c r="Q124" t="s">
        <v>11</v>
      </c>
      <c r="R124" t="s">
        <v>2</v>
      </c>
      <c r="S124" t="s">
        <v>12</v>
      </c>
      <c r="T124" s="4">
        <v>46079</v>
      </c>
      <c r="U124" t="s">
        <v>13</v>
      </c>
      <c r="V124" t="s">
        <v>2</v>
      </c>
      <c r="W124" t="s">
        <v>14</v>
      </c>
      <c r="X124" t="s">
        <v>15</v>
      </c>
      <c r="Y124" t="s">
        <v>16</v>
      </c>
      <c r="Z124" t="s">
        <v>17</v>
      </c>
      <c r="AA124" t="s">
        <v>17</v>
      </c>
      <c r="AB124" t="s">
        <v>18</v>
      </c>
      <c r="AC124" t="s">
        <v>19</v>
      </c>
      <c r="AD124" t="s">
        <v>34</v>
      </c>
      <c r="AE124" t="s">
        <v>12</v>
      </c>
      <c r="AF124" t="s">
        <v>21</v>
      </c>
      <c r="AG124" s="5">
        <v>1</v>
      </c>
      <c r="AH124" s="2">
        <v>59</v>
      </c>
      <c r="AI124" t="s">
        <v>22</v>
      </c>
      <c r="AJ124" s="4">
        <v>46079</v>
      </c>
      <c r="AK124" s="4">
        <v>46084</v>
      </c>
      <c r="AL124" s="4">
        <v>46079</v>
      </c>
      <c r="AM124" t="s">
        <v>2</v>
      </c>
      <c r="AN124" t="s">
        <v>2</v>
      </c>
      <c r="AO124" t="s">
        <v>23</v>
      </c>
    </row>
    <row r="125" spans="1:41" x14ac:dyDescent="0.2">
      <c r="A125" t="s">
        <v>0</v>
      </c>
      <c r="B125" t="s">
        <v>1</v>
      </c>
      <c r="C125" t="s">
        <v>2</v>
      </c>
      <c r="D125" t="s">
        <v>145</v>
      </c>
      <c r="E125" t="s">
        <v>4</v>
      </c>
      <c r="F125" t="s">
        <v>146</v>
      </c>
      <c r="G125" t="s">
        <v>6</v>
      </c>
      <c r="H125" t="s">
        <v>161</v>
      </c>
      <c r="I125" t="str">
        <f t="shared" si="2"/>
        <v>PXCEI-F67043CAB</v>
      </c>
      <c r="J125" t="s">
        <v>39</v>
      </c>
      <c r="K125" t="s">
        <v>37</v>
      </c>
      <c r="L125" s="2">
        <v>89.5</v>
      </c>
      <c r="M125" s="7">
        <v>119</v>
      </c>
      <c r="N125" s="3" t="str">
        <f t="shared" si="3"/>
        <v>CAB</v>
      </c>
      <c r="O125" t="s">
        <v>40</v>
      </c>
      <c r="P125" s="4">
        <v>46079</v>
      </c>
      <c r="Q125" t="s">
        <v>11</v>
      </c>
      <c r="R125" t="s">
        <v>2</v>
      </c>
      <c r="S125" t="s">
        <v>12</v>
      </c>
      <c r="T125" s="4">
        <v>46079</v>
      </c>
      <c r="U125" t="s">
        <v>13</v>
      </c>
      <c r="V125" t="s">
        <v>2</v>
      </c>
      <c r="W125" t="s">
        <v>14</v>
      </c>
      <c r="X125" t="s">
        <v>15</v>
      </c>
      <c r="Y125" t="s">
        <v>16</v>
      </c>
      <c r="Z125" t="s">
        <v>17</v>
      </c>
      <c r="AA125" t="s">
        <v>17</v>
      </c>
      <c r="AB125" t="s">
        <v>18</v>
      </c>
      <c r="AC125" t="s">
        <v>19</v>
      </c>
      <c r="AD125" t="s">
        <v>34</v>
      </c>
      <c r="AE125" t="s">
        <v>12</v>
      </c>
      <c r="AF125" t="s">
        <v>21</v>
      </c>
      <c r="AG125" s="5">
        <v>89.5</v>
      </c>
      <c r="AH125" s="2">
        <v>10650.5</v>
      </c>
      <c r="AI125" t="s">
        <v>22</v>
      </c>
      <c r="AJ125" s="4">
        <v>46079</v>
      </c>
      <c r="AK125" s="4">
        <v>46084</v>
      </c>
      <c r="AL125" s="4">
        <v>46079</v>
      </c>
      <c r="AM125" t="s">
        <v>2</v>
      </c>
      <c r="AN125" t="s">
        <v>2</v>
      </c>
      <c r="AO125" t="s">
        <v>23</v>
      </c>
    </row>
    <row r="126" spans="1:41" x14ac:dyDescent="0.2">
      <c r="A126" t="s">
        <v>0</v>
      </c>
      <c r="B126" t="s">
        <v>1</v>
      </c>
      <c r="C126" t="s">
        <v>2</v>
      </c>
      <c r="D126" t="s">
        <v>145</v>
      </c>
      <c r="E126" t="s">
        <v>4</v>
      </c>
      <c r="F126" t="s">
        <v>146</v>
      </c>
      <c r="G126" t="s">
        <v>6</v>
      </c>
      <c r="H126" t="s">
        <v>162</v>
      </c>
      <c r="I126" t="str">
        <f t="shared" si="2"/>
        <v>PXCBC-F67008LZZ</v>
      </c>
      <c r="J126" t="s">
        <v>61</v>
      </c>
      <c r="K126" t="s">
        <v>32</v>
      </c>
      <c r="L126" s="2">
        <v>67.8</v>
      </c>
      <c r="M126" s="7">
        <v>187</v>
      </c>
      <c r="N126" s="3" t="str">
        <f t="shared" si="3"/>
        <v>LZZ</v>
      </c>
      <c r="O126" t="s">
        <v>83</v>
      </c>
      <c r="P126" s="4">
        <v>46080</v>
      </c>
      <c r="Q126" t="s">
        <v>11</v>
      </c>
      <c r="R126" t="s">
        <v>2</v>
      </c>
      <c r="S126" t="s">
        <v>12</v>
      </c>
      <c r="T126" s="4">
        <v>46080</v>
      </c>
      <c r="U126" t="s">
        <v>13</v>
      </c>
      <c r="V126" t="s">
        <v>2</v>
      </c>
      <c r="W126" t="s">
        <v>14</v>
      </c>
      <c r="X126" t="s">
        <v>15</v>
      </c>
      <c r="Y126" t="s">
        <v>16</v>
      </c>
      <c r="Z126" t="s">
        <v>17</v>
      </c>
      <c r="AA126" t="s">
        <v>17</v>
      </c>
      <c r="AB126" t="s">
        <v>18</v>
      </c>
      <c r="AC126" t="s">
        <v>19</v>
      </c>
      <c r="AD126" t="s">
        <v>34</v>
      </c>
      <c r="AE126" t="s">
        <v>12</v>
      </c>
      <c r="AF126" t="s">
        <v>21</v>
      </c>
      <c r="AG126" s="5">
        <v>67.8</v>
      </c>
      <c r="AH126" s="2">
        <v>12678.6</v>
      </c>
      <c r="AI126" t="s">
        <v>22</v>
      </c>
      <c r="AJ126" s="4">
        <v>46080</v>
      </c>
      <c r="AK126" s="4">
        <v>46085</v>
      </c>
      <c r="AL126" s="4">
        <v>46080</v>
      </c>
      <c r="AM126" t="s">
        <v>2</v>
      </c>
      <c r="AN126" t="s">
        <v>2</v>
      </c>
      <c r="AO126" t="s">
        <v>23</v>
      </c>
    </row>
    <row r="127" spans="1:41" x14ac:dyDescent="0.2">
      <c r="A127" t="s">
        <v>0</v>
      </c>
      <c r="B127" t="s">
        <v>1</v>
      </c>
      <c r="C127" t="s">
        <v>2</v>
      </c>
      <c r="D127" t="s">
        <v>145</v>
      </c>
      <c r="E127" t="s">
        <v>4</v>
      </c>
      <c r="F127" t="s">
        <v>146</v>
      </c>
      <c r="G127" t="s">
        <v>6</v>
      </c>
      <c r="H127" t="s">
        <v>162</v>
      </c>
      <c r="I127" t="str">
        <f t="shared" si="2"/>
        <v>PXCBC-F67008LAW</v>
      </c>
      <c r="J127" t="s">
        <v>61</v>
      </c>
      <c r="K127" t="s">
        <v>32</v>
      </c>
      <c r="L127" s="2">
        <v>67.8</v>
      </c>
      <c r="M127" s="7">
        <v>76</v>
      </c>
      <c r="N127" s="3" t="str">
        <f t="shared" si="3"/>
        <v>LAW</v>
      </c>
      <c r="O127" t="s">
        <v>33</v>
      </c>
      <c r="P127" s="4">
        <v>46080</v>
      </c>
      <c r="Q127" t="s">
        <v>11</v>
      </c>
      <c r="R127" t="s">
        <v>2</v>
      </c>
      <c r="S127" t="s">
        <v>12</v>
      </c>
      <c r="T127" s="4">
        <v>46080</v>
      </c>
      <c r="U127" t="s">
        <v>13</v>
      </c>
      <c r="V127" t="s">
        <v>2</v>
      </c>
      <c r="W127" t="s">
        <v>14</v>
      </c>
      <c r="X127" t="s">
        <v>15</v>
      </c>
      <c r="Y127" t="s">
        <v>16</v>
      </c>
      <c r="Z127" t="s">
        <v>17</v>
      </c>
      <c r="AA127" t="s">
        <v>17</v>
      </c>
      <c r="AB127" t="s">
        <v>18</v>
      </c>
      <c r="AC127" t="s">
        <v>19</v>
      </c>
      <c r="AD127" t="s">
        <v>34</v>
      </c>
      <c r="AE127" t="s">
        <v>45</v>
      </c>
      <c r="AF127" t="s">
        <v>21</v>
      </c>
      <c r="AG127" s="5">
        <v>67.8</v>
      </c>
      <c r="AH127" s="2">
        <v>5152.8</v>
      </c>
      <c r="AI127" t="s">
        <v>22</v>
      </c>
      <c r="AJ127" s="4">
        <v>46080</v>
      </c>
      <c r="AK127" s="4">
        <v>46085</v>
      </c>
      <c r="AL127" s="4">
        <v>46080</v>
      </c>
      <c r="AM127" t="s">
        <v>2</v>
      </c>
      <c r="AN127" t="s">
        <v>2</v>
      </c>
      <c r="AO127" t="s">
        <v>23</v>
      </c>
    </row>
    <row r="128" spans="1:41" x14ac:dyDescent="0.2">
      <c r="A128" t="s">
        <v>0</v>
      </c>
      <c r="B128" t="s">
        <v>1</v>
      </c>
      <c r="C128" t="s">
        <v>2</v>
      </c>
      <c r="D128" t="s">
        <v>145</v>
      </c>
      <c r="E128" t="s">
        <v>4</v>
      </c>
      <c r="F128" t="s">
        <v>146</v>
      </c>
      <c r="G128" t="s">
        <v>6</v>
      </c>
      <c r="H128" t="s">
        <v>162</v>
      </c>
      <c r="I128" t="str">
        <f t="shared" si="2"/>
        <v>PXCBC-F67008KAN</v>
      </c>
      <c r="J128" t="s">
        <v>61</v>
      </c>
      <c r="K128" t="s">
        <v>32</v>
      </c>
      <c r="L128" s="2">
        <v>67.8</v>
      </c>
      <c r="M128" s="7">
        <v>61</v>
      </c>
      <c r="N128" s="3" t="str">
        <f t="shared" si="3"/>
        <v>KAN</v>
      </c>
      <c r="O128" t="s">
        <v>62</v>
      </c>
      <c r="P128" s="4">
        <v>46080</v>
      </c>
      <c r="Q128" t="s">
        <v>11</v>
      </c>
      <c r="R128" t="s">
        <v>2</v>
      </c>
      <c r="S128" t="s">
        <v>12</v>
      </c>
      <c r="T128" s="4">
        <v>46080</v>
      </c>
      <c r="U128" t="s">
        <v>13</v>
      </c>
      <c r="V128" t="s">
        <v>2</v>
      </c>
      <c r="W128" t="s">
        <v>14</v>
      </c>
      <c r="X128" t="s">
        <v>15</v>
      </c>
      <c r="Y128" t="s">
        <v>16</v>
      </c>
      <c r="Z128" t="s">
        <v>17</v>
      </c>
      <c r="AA128" t="s">
        <v>17</v>
      </c>
      <c r="AB128" t="s">
        <v>18</v>
      </c>
      <c r="AC128" t="s">
        <v>19</v>
      </c>
      <c r="AD128" t="s">
        <v>34</v>
      </c>
      <c r="AE128" t="s">
        <v>29</v>
      </c>
      <c r="AF128" t="s">
        <v>21</v>
      </c>
      <c r="AG128" s="5">
        <v>67.8</v>
      </c>
      <c r="AH128" s="2">
        <v>4135.8</v>
      </c>
      <c r="AI128" t="s">
        <v>22</v>
      </c>
      <c r="AJ128" s="4">
        <v>46080</v>
      </c>
      <c r="AK128" s="4">
        <v>46085</v>
      </c>
      <c r="AL128" s="4">
        <v>46080</v>
      </c>
      <c r="AM128" t="s">
        <v>2</v>
      </c>
      <c r="AN128" t="s">
        <v>2</v>
      </c>
      <c r="AO128" t="s">
        <v>23</v>
      </c>
    </row>
    <row r="129" spans="1:41" x14ac:dyDescent="0.2">
      <c r="A129" t="s">
        <v>0</v>
      </c>
      <c r="B129" t="s">
        <v>1</v>
      </c>
      <c r="C129" t="s">
        <v>2</v>
      </c>
      <c r="D129" t="s">
        <v>145</v>
      </c>
      <c r="E129" t="s">
        <v>4</v>
      </c>
      <c r="F129" t="s">
        <v>146</v>
      </c>
      <c r="G129" t="s">
        <v>6</v>
      </c>
      <c r="H129" t="s">
        <v>162</v>
      </c>
      <c r="I129" t="str">
        <f t="shared" si="2"/>
        <v>PXCBC-F67008CAW</v>
      </c>
      <c r="J129" t="s">
        <v>61</v>
      </c>
      <c r="K129" t="s">
        <v>32</v>
      </c>
      <c r="L129" s="2">
        <v>67.8</v>
      </c>
      <c r="M129" s="7">
        <v>87</v>
      </c>
      <c r="N129" s="3" t="str">
        <f t="shared" si="3"/>
        <v>CAW</v>
      </c>
      <c r="O129" t="s">
        <v>63</v>
      </c>
      <c r="P129" s="4">
        <v>46080</v>
      </c>
      <c r="Q129" t="s">
        <v>11</v>
      </c>
      <c r="R129" t="s">
        <v>2</v>
      </c>
      <c r="S129" t="s">
        <v>12</v>
      </c>
      <c r="T129" s="4">
        <v>46080</v>
      </c>
      <c r="U129" t="s">
        <v>13</v>
      </c>
      <c r="V129" t="s">
        <v>2</v>
      </c>
      <c r="W129" t="s">
        <v>14</v>
      </c>
      <c r="X129" t="s">
        <v>15</v>
      </c>
      <c r="Y129" t="s">
        <v>16</v>
      </c>
      <c r="Z129" t="s">
        <v>17</v>
      </c>
      <c r="AA129" t="s">
        <v>17</v>
      </c>
      <c r="AB129" t="s">
        <v>18</v>
      </c>
      <c r="AC129" t="s">
        <v>19</v>
      </c>
      <c r="AD129" t="s">
        <v>34</v>
      </c>
      <c r="AE129" t="s">
        <v>26</v>
      </c>
      <c r="AF129" t="s">
        <v>21</v>
      </c>
      <c r="AG129" s="5">
        <v>67.8</v>
      </c>
      <c r="AH129" s="2">
        <v>5898.6</v>
      </c>
      <c r="AI129" t="s">
        <v>22</v>
      </c>
      <c r="AJ129" s="4">
        <v>46080</v>
      </c>
      <c r="AK129" s="4">
        <v>46085</v>
      </c>
      <c r="AL129" s="4">
        <v>46080</v>
      </c>
      <c r="AM129" t="s">
        <v>2</v>
      </c>
      <c r="AN129" t="s">
        <v>2</v>
      </c>
      <c r="AO129" t="s">
        <v>23</v>
      </c>
    </row>
    <row r="130" spans="1:41" x14ac:dyDescent="0.2">
      <c r="A130" t="s">
        <v>0</v>
      </c>
      <c r="B130" t="s">
        <v>1</v>
      </c>
      <c r="C130" t="s">
        <v>2</v>
      </c>
      <c r="D130" t="s">
        <v>145</v>
      </c>
      <c r="E130" t="s">
        <v>4</v>
      </c>
      <c r="F130" t="s">
        <v>146</v>
      </c>
      <c r="G130" t="s">
        <v>6</v>
      </c>
      <c r="H130" t="s">
        <v>163</v>
      </c>
      <c r="I130" t="str">
        <f t="shared" si="2"/>
        <v>PXCCM-F67080LAW</v>
      </c>
      <c r="J130" t="s">
        <v>115</v>
      </c>
      <c r="K130" t="s">
        <v>116</v>
      </c>
      <c r="L130" s="2">
        <v>1</v>
      </c>
      <c r="M130" s="7">
        <v>79</v>
      </c>
      <c r="N130" s="3" t="str">
        <f t="shared" si="3"/>
        <v>LAW</v>
      </c>
      <c r="O130" t="s">
        <v>33</v>
      </c>
      <c r="P130" s="4">
        <v>46080</v>
      </c>
      <c r="Q130" t="s">
        <v>11</v>
      </c>
      <c r="R130" t="s">
        <v>2</v>
      </c>
      <c r="S130" t="s">
        <v>12</v>
      </c>
      <c r="T130" s="4">
        <v>46080</v>
      </c>
      <c r="U130" t="s">
        <v>13</v>
      </c>
      <c r="V130" t="s">
        <v>2</v>
      </c>
      <c r="W130" t="s">
        <v>14</v>
      </c>
      <c r="X130" t="s">
        <v>15</v>
      </c>
      <c r="Y130" t="s">
        <v>16</v>
      </c>
      <c r="Z130" t="s">
        <v>17</v>
      </c>
      <c r="AA130" t="s">
        <v>17</v>
      </c>
      <c r="AB130" t="s">
        <v>18</v>
      </c>
      <c r="AC130" t="s">
        <v>19</v>
      </c>
      <c r="AD130" t="s">
        <v>34</v>
      </c>
      <c r="AE130" t="s">
        <v>26</v>
      </c>
      <c r="AF130" t="s">
        <v>21</v>
      </c>
      <c r="AG130" s="5">
        <v>1</v>
      </c>
      <c r="AH130" s="2">
        <v>79</v>
      </c>
      <c r="AI130" t="s">
        <v>22</v>
      </c>
      <c r="AJ130" s="4">
        <v>46080</v>
      </c>
      <c r="AK130" s="4">
        <v>46085</v>
      </c>
      <c r="AL130" s="4">
        <v>46080</v>
      </c>
      <c r="AM130" t="s">
        <v>2</v>
      </c>
      <c r="AN130" t="s">
        <v>2</v>
      </c>
      <c r="AO130" t="s">
        <v>23</v>
      </c>
    </row>
    <row r="131" spans="1:41" x14ac:dyDescent="0.2">
      <c r="A131" t="s">
        <v>0</v>
      </c>
      <c r="B131" t="s">
        <v>1</v>
      </c>
      <c r="C131" t="s">
        <v>2</v>
      </c>
      <c r="D131" t="s">
        <v>145</v>
      </c>
      <c r="E131" t="s">
        <v>4</v>
      </c>
      <c r="F131" t="s">
        <v>146</v>
      </c>
      <c r="G131" t="s">
        <v>6</v>
      </c>
      <c r="H131" t="s">
        <v>163</v>
      </c>
      <c r="I131" t="str">
        <f t="shared" ref="I131" si="4">J131&amp;N131</f>
        <v>PXCCM-F67080CAB</v>
      </c>
      <c r="J131" t="s">
        <v>115</v>
      </c>
      <c r="K131" t="s">
        <v>116</v>
      </c>
      <c r="L131" s="2">
        <v>1</v>
      </c>
      <c r="M131" s="7">
        <v>103</v>
      </c>
      <c r="N131" s="3" t="str">
        <f t="shared" ref="N131" si="5">LEFT(O131,3)</f>
        <v>CAB</v>
      </c>
      <c r="O131" t="s">
        <v>40</v>
      </c>
      <c r="P131" s="4">
        <v>46080</v>
      </c>
      <c r="Q131" t="s">
        <v>11</v>
      </c>
      <c r="R131" t="s">
        <v>2</v>
      </c>
      <c r="S131" t="s">
        <v>12</v>
      </c>
      <c r="T131" s="4">
        <v>46080</v>
      </c>
      <c r="U131" t="s">
        <v>13</v>
      </c>
      <c r="V131" t="s">
        <v>2</v>
      </c>
      <c r="W131" t="s">
        <v>14</v>
      </c>
      <c r="X131" t="s">
        <v>15</v>
      </c>
      <c r="Y131" t="s">
        <v>16</v>
      </c>
      <c r="Z131" t="s">
        <v>17</v>
      </c>
      <c r="AA131" t="s">
        <v>17</v>
      </c>
      <c r="AB131" t="s">
        <v>18</v>
      </c>
      <c r="AC131" t="s">
        <v>19</v>
      </c>
      <c r="AD131" t="s">
        <v>34</v>
      </c>
      <c r="AE131" t="s">
        <v>12</v>
      </c>
      <c r="AF131" t="s">
        <v>21</v>
      </c>
      <c r="AG131" s="5">
        <v>1</v>
      </c>
      <c r="AH131" s="2">
        <v>103</v>
      </c>
      <c r="AI131" t="s">
        <v>22</v>
      </c>
      <c r="AJ131" s="4">
        <v>46080</v>
      </c>
      <c r="AK131" s="4">
        <v>46085</v>
      </c>
      <c r="AL131" s="4">
        <v>46080</v>
      </c>
      <c r="AM131" t="s">
        <v>2</v>
      </c>
      <c r="AN131" t="s">
        <v>2</v>
      </c>
      <c r="AO131" t="s">
        <v>23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D6B0-0026-412F-ADB2-181F048CB2F6}">
  <dimension ref="A1:G34"/>
  <sheetViews>
    <sheetView zoomScale="145" zoomScaleNormal="145" workbookViewId="0">
      <selection activeCell="G4" sqref="G4"/>
    </sheetView>
  </sheetViews>
  <sheetFormatPr baseColWidth="10" defaultColWidth="9.140625" defaultRowHeight="12.75" x14ac:dyDescent="0.2"/>
  <cols>
    <col min="1" max="1" width="19" bestFit="1" customWidth="1"/>
    <col min="2" max="2" width="20" bestFit="1" customWidth="1"/>
  </cols>
  <sheetData>
    <row r="1" spans="1:7" x14ac:dyDescent="0.2">
      <c r="A1" t="s">
        <v>172</v>
      </c>
      <c r="B1" t="s">
        <v>173</v>
      </c>
      <c r="C1" t="s">
        <v>202</v>
      </c>
      <c r="D1" t="s">
        <v>176</v>
      </c>
      <c r="E1" t="s">
        <v>168</v>
      </c>
      <c r="F1" t="s">
        <v>171</v>
      </c>
      <c r="G1" t="s">
        <v>252</v>
      </c>
    </row>
    <row r="2" spans="1:7" ht="15" x14ac:dyDescent="0.2">
      <c r="A2" t="s">
        <v>43</v>
      </c>
      <c r="B2" t="s">
        <v>44</v>
      </c>
      <c r="C2" t="s">
        <v>204</v>
      </c>
      <c r="G2" s="42">
        <v>0</v>
      </c>
    </row>
    <row r="3" spans="1:7" ht="15" x14ac:dyDescent="0.2">
      <c r="A3" t="s">
        <v>8</v>
      </c>
      <c r="B3" t="s">
        <v>9</v>
      </c>
      <c r="C3" t="s">
        <v>249</v>
      </c>
      <c r="G3" s="42">
        <v>0</v>
      </c>
    </row>
    <row r="4" spans="1:7" ht="15" x14ac:dyDescent="0.2">
      <c r="C4" t="s">
        <v>204</v>
      </c>
      <c r="G4" s="42">
        <v>78</v>
      </c>
    </row>
    <row r="5" spans="1:7" ht="15" x14ac:dyDescent="0.2">
      <c r="A5" t="s">
        <v>79</v>
      </c>
      <c r="B5" t="s">
        <v>80</v>
      </c>
      <c r="C5" t="s">
        <v>205</v>
      </c>
      <c r="G5" s="42">
        <v>164</v>
      </c>
    </row>
    <row r="6" spans="1:7" ht="15" x14ac:dyDescent="0.2">
      <c r="C6" t="s">
        <v>206</v>
      </c>
      <c r="G6" s="42">
        <v>50</v>
      </c>
    </row>
    <row r="7" spans="1:7" ht="15" x14ac:dyDescent="0.2">
      <c r="C7" t="s">
        <v>204</v>
      </c>
      <c r="G7" s="42">
        <v>72</v>
      </c>
    </row>
    <row r="8" spans="1:7" ht="15" x14ac:dyDescent="0.2">
      <c r="A8" t="s">
        <v>85</v>
      </c>
      <c r="B8" t="s">
        <v>86</v>
      </c>
      <c r="C8" t="s">
        <v>207</v>
      </c>
      <c r="G8" s="42">
        <v>49</v>
      </c>
    </row>
    <row r="9" spans="1:7" ht="15" x14ac:dyDescent="0.2">
      <c r="C9" t="s">
        <v>204</v>
      </c>
      <c r="G9" s="42">
        <v>50</v>
      </c>
    </row>
    <row r="10" spans="1:7" ht="15" x14ac:dyDescent="0.2">
      <c r="A10" t="s">
        <v>61</v>
      </c>
      <c r="B10" t="s">
        <v>32</v>
      </c>
      <c r="C10" t="s">
        <v>250</v>
      </c>
      <c r="G10" s="42">
        <v>97</v>
      </c>
    </row>
    <row r="11" spans="1:7" ht="15" x14ac:dyDescent="0.2">
      <c r="C11" t="s">
        <v>207</v>
      </c>
      <c r="G11" s="42">
        <v>111</v>
      </c>
    </row>
    <row r="12" spans="1:7" ht="15" x14ac:dyDescent="0.2">
      <c r="C12" t="s">
        <v>206</v>
      </c>
      <c r="G12" s="42">
        <v>200</v>
      </c>
    </row>
    <row r="13" spans="1:7" ht="15" x14ac:dyDescent="0.2">
      <c r="C13" t="s">
        <v>204</v>
      </c>
      <c r="G13" s="42">
        <v>280</v>
      </c>
    </row>
    <row r="14" spans="1:7" ht="15" x14ac:dyDescent="0.2">
      <c r="A14" t="s">
        <v>88</v>
      </c>
      <c r="B14" t="s">
        <v>37</v>
      </c>
      <c r="C14" t="s">
        <v>250</v>
      </c>
      <c r="G14" s="42">
        <v>65</v>
      </c>
    </row>
    <row r="15" spans="1:7" ht="15" x14ac:dyDescent="0.2">
      <c r="C15" t="s">
        <v>205</v>
      </c>
      <c r="G15" s="42">
        <v>208</v>
      </c>
    </row>
    <row r="16" spans="1:7" ht="15" x14ac:dyDescent="0.2">
      <c r="C16" t="s">
        <v>207</v>
      </c>
      <c r="G16" s="42">
        <v>69</v>
      </c>
    </row>
    <row r="17" spans="1:7" ht="15" x14ac:dyDescent="0.2">
      <c r="C17" t="s">
        <v>206</v>
      </c>
      <c r="G17" s="42">
        <v>53</v>
      </c>
    </row>
    <row r="18" spans="1:7" ht="15" x14ac:dyDescent="0.2">
      <c r="C18" t="s">
        <v>204</v>
      </c>
      <c r="G18" s="42">
        <v>77</v>
      </c>
    </row>
    <row r="19" spans="1:7" ht="15" x14ac:dyDescent="0.2">
      <c r="A19" t="s">
        <v>134</v>
      </c>
      <c r="B19" t="s">
        <v>135</v>
      </c>
      <c r="C19" t="s">
        <v>208</v>
      </c>
      <c r="G19" s="42">
        <v>50</v>
      </c>
    </row>
    <row r="20" spans="1:7" ht="15" x14ac:dyDescent="0.2">
      <c r="C20" t="s">
        <v>204</v>
      </c>
      <c r="G20" s="42">
        <v>43</v>
      </c>
    </row>
    <row r="21" spans="1:7" ht="15" x14ac:dyDescent="0.2">
      <c r="A21" t="s">
        <v>92</v>
      </c>
      <c r="B21" t="s">
        <v>93</v>
      </c>
      <c r="C21" t="s">
        <v>208</v>
      </c>
      <c r="G21" s="42">
        <v>198</v>
      </c>
    </row>
    <row r="22" spans="1:7" ht="15" x14ac:dyDescent="0.2">
      <c r="C22" t="s">
        <v>204</v>
      </c>
      <c r="G22" s="42">
        <v>84</v>
      </c>
    </row>
    <row r="23" spans="1:7" ht="15" x14ac:dyDescent="0.2">
      <c r="A23" t="s">
        <v>53</v>
      </c>
      <c r="B23" t="s">
        <v>44</v>
      </c>
      <c r="C23" t="s">
        <v>251</v>
      </c>
      <c r="G23" s="42">
        <v>203</v>
      </c>
    </row>
    <row r="24" spans="1:7" ht="15" x14ac:dyDescent="0.2">
      <c r="A24" t="s">
        <v>115</v>
      </c>
      <c r="B24" t="s">
        <v>116</v>
      </c>
      <c r="C24" t="s">
        <v>209</v>
      </c>
      <c r="G24" s="42">
        <v>143</v>
      </c>
    </row>
    <row r="25" spans="1:7" ht="15" x14ac:dyDescent="0.2">
      <c r="C25" t="s">
        <v>206</v>
      </c>
      <c r="G25" s="42">
        <v>114</v>
      </c>
    </row>
    <row r="26" spans="1:7" ht="15" x14ac:dyDescent="0.2">
      <c r="A26" t="s">
        <v>156</v>
      </c>
      <c r="B26" t="s">
        <v>142</v>
      </c>
      <c r="C26" t="s">
        <v>206</v>
      </c>
      <c r="G26" s="42">
        <v>52</v>
      </c>
    </row>
    <row r="27" spans="1:7" ht="15" x14ac:dyDescent="0.2">
      <c r="A27" t="s">
        <v>101</v>
      </c>
      <c r="B27" t="s">
        <v>86</v>
      </c>
      <c r="C27" t="s">
        <v>209</v>
      </c>
      <c r="G27" s="42">
        <v>53</v>
      </c>
    </row>
    <row r="28" spans="1:7" ht="15" x14ac:dyDescent="0.2">
      <c r="A28" t="s">
        <v>31</v>
      </c>
      <c r="B28" t="s">
        <v>32</v>
      </c>
      <c r="C28" t="s">
        <v>209</v>
      </c>
      <c r="G28" s="42">
        <v>77</v>
      </c>
    </row>
    <row r="29" spans="1:7" ht="15" x14ac:dyDescent="0.2">
      <c r="C29" t="s">
        <v>206</v>
      </c>
      <c r="G29" s="42">
        <v>152</v>
      </c>
    </row>
    <row r="30" spans="1:7" ht="15" x14ac:dyDescent="0.2">
      <c r="A30" t="s">
        <v>36</v>
      </c>
      <c r="B30" t="s">
        <v>37</v>
      </c>
      <c r="C30" t="s">
        <v>206</v>
      </c>
      <c r="G30" s="42">
        <v>161</v>
      </c>
    </row>
    <row r="31" spans="1:7" ht="15" x14ac:dyDescent="0.2">
      <c r="A31" t="s">
        <v>141</v>
      </c>
      <c r="B31" t="s">
        <v>142</v>
      </c>
      <c r="C31" t="s">
        <v>209</v>
      </c>
      <c r="G31" s="42">
        <v>61</v>
      </c>
    </row>
    <row r="32" spans="1:7" ht="15" x14ac:dyDescent="0.2">
      <c r="A32" t="s">
        <v>39</v>
      </c>
      <c r="B32" t="s">
        <v>37</v>
      </c>
      <c r="C32" t="s">
        <v>209</v>
      </c>
      <c r="G32" s="42">
        <v>184</v>
      </c>
    </row>
    <row r="33" spans="1:7" x14ac:dyDescent="0.2">
      <c r="A33" t="s">
        <v>242</v>
      </c>
      <c r="G33">
        <f>SUM(G2:G32)</f>
        <v>3198</v>
      </c>
    </row>
    <row r="34" spans="1:7" x14ac:dyDescent="0.2">
      <c r="G34">
        <f>G33-3173</f>
        <v>25</v>
      </c>
    </row>
  </sheetData>
  <autoFilter ref="A1:G34" xr:uid="{BCA6D6B0-0026-412F-ADB2-181F048CB2F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LCT</vt:lpstr>
      <vt:lpstr>Prix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Carme Fabrega</cp:lastModifiedBy>
  <cp:revision>1</cp:revision>
  <dcterms:created xsi:type="dcterms:W3CDTF">2026-03-04T17:19:44Z</dcterms:created>
  <dcterms:modified xsi:type="dcterms:W3CDTF">2026-05-20T10:18:12Z</dcterms:modified>
  <cp:category/>
</cp:coreProperties>
</file>