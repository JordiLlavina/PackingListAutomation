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RODUCTION\27E - PRODUCTION\SPRING27\ACCESSOIRES\Puntotres\"/>
    </mc:Choice>
  </mc:AlternateContent>
  <xr:revisionPtr revIDLastSave="0" documentId="13_ncr:1_{3DB3B6F6-532C-45BB-8B42-C446CBA2F4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CT" sheetId="3" r:id="rId1"/>
    <sheet name="Prix" sheetId="2" r:id="rId2"/>
    <sheet name="Sheet1" sheetId="1" r:id="rId3"/>
  </sheets>
  <calcPr calcId="191029"/>
  <pivotCaches>
    <pivotCache cacheId="18" r:id="rId4"/>
  </pivotCaches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2" i="1"/>
</calcChain>
</file>

<file path=xl/sharedStrings.xml><?xml version="1.0" encoding="utf-8"?>
<sst xmlns="http://schemas.openxmlformats.org/spreadsheetml/2006/main" count="5453" uniqueCount="348">
  <si>
    <t>27E</t>
  </si>
  <si>
    <t>E2</t>
  </si>
  <si>
    <t/>
  </si>
  <si>
    <t>Australia</t>
  </si>
  <si>
    <t>WH</t>
  </si>
  <si>
    <t>08</t>
  </si>
  <si>
    <t>PUNTOTRES BAGS &amp; BELTS, s.l.</t>
  </si>
  <si>
    <t>4100132415</t>
  </si>
  <si>
    <t>PXBMW-F63034</t>
  </si>
  <si>
    <t>enveloppe card holder</t>
  </si>
  <si>
    <t>FABTU</t>
  </si>
  <si>
    <t>SMOVSES</t>
  </si>
  <si>
    <t>1</t>
  </si>
  <si>
    <t>B</t>
  </si>
  <si>
    <t>YNBP</t>
  </si>
  <si>
    <t>FR01</t>
  </si>
  <si>
    <t>A01</t>
  </si>
  <si>
    <t>F003</t>
  </si>
  <si>
    <t>ES02AB005</t>
  </si>
  <si>
    <t>10</t>
  </si>
  <si>
    <t>TU</t>
  </si>
  <si>
    <t>PC</t>
  </si>
  <si>
    <t>EUR</t>
  </si>
  <si>
    <t>6000</t>
  </si>
  <si>
    <t>4100132821</t>
  </si>
  <si>
    <t>PXCBC-F67043</t>
  </si>
  <si>
    <t>le neige clou</t>
  </si>
  <si>
    <t>LZZTU</t>
  </si>
  <si>
    <t>4100132828</t>
  </si>
  <si>
    <t>PXCEU-F67043</t>
  </si>
  <si>
    <t>KBGTU</t>
  </si>
  <si>
    <t>4100132830</t>
  </si>
  <si>
    <t>PXCEU-F67081</t>
  </si>
  <si>
    <t>le neige mini</t>
  </si>
  <si>
    <t>2</t>
  </si>
  <si>
    <t>4100132936</t>
  </si>
  <si>
    <t>PXCEV-F63034</t>
  </si>
  <si>
    <t>GAATU</t>
  </si>
  <si>
    <t>4100132939</t>
  </si>
  <si>
    <t>PXCEV-F67081</t>
  </si>
  <si>
    <t>Chine franch</t>
  </si>
  <si>
    <t>4100132931</t>
  </si>
  <si>
    <t>PXCBC-F67008</t>
  </si>
  <si>
    <t>le neige</t>
  </si>
  <si>
    <t>LAOTU</t>
  </si>
  <si>
    <t>DABTU</t>
  </si>
  <si>
    <t>4100132933</t>
  </si>
  <si>
    <t>Douanes USA</t>
  </si>
  <si>
    <t>UST</t>
  </si>
  <si>
    <t>02</t>
  </si>
  <si>
    <t>4100132409</t>
  </si>
  <si>
    <t>F000</t>
  </si>
  <si>
    <t>4100132812</t>
  </si>
  <si>
    <t>PXCBC-M67115</t>
  </si>
  <si>
    <t>maxi neige</t>
  </si>
  <si>
    <t>IBCTU</t>
  </si>
  <si>
    <t>4100132814</t>
  </si>
  <si>
    <t>4100132815</t>
  </si>
  <si>
    <t>PXCFV-F63023</t>
  </si>
  <si>
    <t>la pochette neige clou</t>
  </si>
  <si>
    <t>TLDTU</t>
  </si>
  <si>
    <t>4100132924</t>
  </si>
  <si>
    <t>4100132926</t>
  </si>
  <si>
    <t>PXCBC-F67081</t>
  </si>
  <si>
    <t>4100132927</t>
  </si>
  <si>
    <t>4100132928</t>
  </si>
  <si>
    <t>PXCEV-F67008</t>
  </si>
  <si>
    <t>4100132929</t>
  </si>
  <si>
    <t>09</t>
  </si>
  <si>
    <t>4100132811</t>
  </si>
  <si>
    <t>4100132813</t>
  </si>
  <si>
    <t>4100132925</t>
  </si>
  <si>
    <t>Japan</t>
  </si>
  <si>
    <t>JPT</t>
  </si>
  <si>
    <t>03</t>
  </si>
  <si>
    <t>4100132407</t>
  </si>
  <si>
    <t>4100132796</t>
  </si>
  <si>
    <t>COHIZ-F67008</t>
  </si>
  <si>
    <t>IAITU</t>
  </si>
  <si>
    <t>4100132797</t>
  </si>
  <si>
    <t>PXBHZ-F65101</t>
  </si>
  <si>
    <t>ceinture rosette</t>
  </si>
  <si>
    <t>LZZ80</t>
  </si>
  <si>
    <t>80</t>
  </si>
  <si>
    <t>3</t>
  </si>
  <si>
    <t>CAD80</t>
  </si>
  <si>
    <t>LZZ75</t>
  </si>
  <si>
    <t>75</t>
  </si>
  <si>
    <t>4</t>
  </si>
  <si>
    <t>CAD75</t>
  </si>
  <si>
    <t>4100132798</t>
  </si>
  <si>
    <t>PXBHZ-H65077</t>
  </si>
  <si>
    <t>ceinture paris</t>
  </si>
  <si>
    <t>LZZ95</t>
  </si>
  <si>
    <t>95</t>
  </si>
  <si>
    <t>LZZ100</t>
  </si>
  <si>
    <t>100</t>
  </si>
  <si>
    <t>4100132799</t>
  </si>
  <si>
    <t>PXCBC-F63033</t>
  </si>
  <si>
    <t>porte-monnaie neige rond</t>
  </si>
  <si>
    <t>4100132800</t>
  </si>
  <si>
    <t>PXCBC-F63037</t>
  </si>
  <si>
    <t>bifold tokyo</t>
  </si>
  <si>
    <t>4100132801</t>
  </si>
  <si>
    <t>4100132802</t>
  </si>
  <si>
    <t>PXCBC-M65222</t>
  </si>
  <si>
    <t>ceinture gabriel</t>
  </si>
  <si>
    <t>LZZM</t>
  </si>
  <si>
    <t>M</t>
  </si>
  <si>
    <t>4100132803</t>
  </si>
  <si>
    <t>4100132804</t>
  </si>
  <si>
    <t>4100132805</t>
  </si>
  <si>
    <t>4100132806</t>
  </si>
  <si>
    <t>PXCEV-F63037</t>
  </si>
  <si>
    <t>4100132915</t>
  </si>
  <si>
    <t>4100132916</t>
  </si>
  <si>
    <t>4100132917</t>
  </si>
  <si>
    <t>4100132918</t>
  </si>
  <si>
    <t>4100132919</t>
  </si>
  <si>
    <t>Korea</t>
  </si>
  <si>
    <t>KRT</t>
  </si>
  <si>
    <t>04</t>
  </si>
  <si>
    <t>4100132408</t>
  </si>
  <si>
    <t>4100132807</t>
  </si>
  <si>
    <t>PXCBC-H63044</t>
  </si>
  <si>
    <t>4100132808</t>
  </si>
  <si>
    <t>PXCEU-F67008</t>
  </si>
  <si>
    <t>4100132809</t>
  </si>
  <si>
    <t>4100132810</t>
  </si>
  <si>
    <t>4100132920</t>
  </si>
  <si>
    <t>4100132921</t>
  </si>
  <si>
    <t>4100132922</t>
  </si>
  <si>
    <t>4100132923</t>
  </si>
  <si>
    <t>Retail</t>
  </si>
  <si>
    <t>RT</t>
  </si>
  <si>
    <t>4100132422</t>
  </si>
  <si>
    <t>F010</t>
  </si>
  <si>
    <t>0001</t>
  </si>
  <si>
    <t>4100132833</t>
  </si>
  <si>
    <t>CAD90</t>
  </si>
  <si>
    <t>90</t>
  </si>
  <si>
    <t>4100132834</t>
  </si>
  <si>
    <t>CAE95</t>
  </si>
  <si>
    <t>5</t>
  </si>
  <si>
    <t>LZZ90</t>
  </si>
  <si>
    <t>CAE90</t>
  </si>
  <si>
    <t>LZZ85</t>
  </si>
  <si>
    <t>85</t>
  </si>
  <si>
    <t>7</t>
  </si>
  <si>
    <t>CAE85</t>
  </si>
  <si>
    <t>6</t>
  </si>
  <si>
    <t>4100132835</t>
  </si>
  <si>
    <t>4100132836</t>
  </si>
  <si>
    <t>4100132837</t>
  </si>
  <si>
    <t>PXCBC-H65077</t>
  </si>
  <si>
    <t>4100132838</t>
  </si>
  <si>
    <t>LZZL</t>
  </si>
  <si>
    <t>L</t>
  </si>
  <si>
    <t>4100132839</t>
  </si>
  <si>
    <t>4100132840</t>
  </si>
  <si>
    <t>4100132841</t>
  </si>
  <si>
    <t>4100132842</t>
  </si>
  <si>
    <t>4100132843</t>
  </si>
  <si>
    <t>4100132844</t>
  </si>
  <si>
    <t>4100132845</t>
  </si>
  <si>
    <t>20</t>
  </si>
  <si>
    <t>30</t>
  </si>
  <si>
    <t>40</t>
  </si>
  <si>
    <t>50</t>
  </si>
  <si>
    <t>CAVS</t>
  </si>
  <si>
    <t>60</t>
  </si>
  <si>
    <t>S</t>
  </si>
  <si>
    <t>CAVM</t>
  </si>
  <si>
    <t>CAVL</t>
  </si>
  <si>
    <t>4100132846</t>
  </si>
  <si>
    <t>4100132940</t>
  </si>
  <si>
    <t>4100132941</t>
  </si>
  <si>
    <t>4100132942</t>
  </si>
  <si>
    <t>4100132943</t>
  </si>
  <si>
    <t>4100132944</t>
  </si>
  <si>
    <t>4100132945</t>
  </si>
  <si>
    <t>4100132946</t>
  </si>
  <si>
    <t>4100132947</t>
  </si>
  <si>
    <t>Retail USA</t>
  </si>
  <si>
    <t>4100132816</t>
  </si>
  <si>
    <t>CAD85</t>
  </si>
  <si>
    <t>Wholesale</t>
  </si>
  <si>
    <t>4100132847</t>
  </si>
  <si>
    <t>4100132848</t>
  </si>
  <si>
    <t>4100132849</t>
  </si>
  <si>
    <t>4100132948</t>
  </si>
  <si>
    <t>4100132949</t>
  </si>
  <si>
    <t>4100132950</t>
  </si>
  <si>
    <t>07</t>
  </si>
  <si>
    <t>4100132414</t>
  </si>
  <si>
    <t>4100132817</t>
  </si>
  <si>
    <t>4100132818</t>
  </si>
  <si>
    <t>CAE100</t>
  </si>
  <si>
    <t>4100132819</t>
  </si>
  <si>
    <t>4100132820</t>
  </si>
  <si>
    <t>4100132822</t>
  </si>
  <si>
    <t>4100132823</t>
  </si>
  <si>
    <t>4100132824</t>
  </si>
  <si>
    <t>4100132825</t>
  </si>
  <si>
    <t>PXCBS-F63037</t>
  </si>
  <si>
    <t>4100132826</t>
  </si>
  <si>
    <t>4100132827</t>
  </si>
  <si>
    <t>4100132829</t>
  </si>
  <si>
    <t>4100132831</t>
  </si>
  <si>
    <t>4100132832</t>
  </si>
  <si>
    <t>4100132930</t>
  </si>
  <si>
    <t>4100132932</t>
  </si>
  <si>
    <t>4100132934</t>
  </si>
  <si>
    <t>4100132935</t>
  </si>
  <si>
    <t>4100132937</t>
  </si>
  <si>
    <t>4100132938</t>
  </si>
  <si>
    <t>4100133081</t>
  </si>
  <si>
    <t>LZZS</t>
  </si>
  <si>
    <t>Code de saison</t>
  </si>
  <si>
    <t>Collection</t>
  </si>
  <si>
    <t>Livraison finale</t>
  </si>
  <si>
    <t>Notre référence</t>
  </si>
  <si>
    <t>Catégorie de stock</t>
  </si>
  <si>
    <t>Votre référence</t>
  </si>
  <si>
    <t>Nom 1</t>
  </si>
  <si>
    <t>Document d'achat</t>
  </si>
  <si>
    <t>Article</t>
  </si>
  <si>
    <t>Désignation</t>
  </si>
  <si>
    <t>Prix net</t>
  </si>
  <si>
    <t>Quantité échéancée</t>
  </si>
  <si>
    <t>Valeur de grille</t>
  </si>
  <si>
    <t>Date livraison</t>
  </si>
  <si>
    <t>Créé par</t>
  </si>
  <si>
    <t>Code de suppression</t>
  </si>
  <si>
    <t>Ligne</t>
  </si>
  <si>
    <t>Date du document</t>
  </si>
  <si>
    <t>Type de stock</t>
  </si>
  <si>
    <t>Saison</t>
  </si>
  <si>
    <t>Type document achat</t>
  </si>
  <si>
    <t>Organisation achats</t>
  </si>
  <si>
    <t>Groupe d'acheteurs</t>
  </si>
  <si>
    <t>Division</t>
  </si>
  <si>
    <t>Magasin</t>
  </si>
  <si>
    <t>Fournisseur</t>
  </si>
  <si>
    <t>Poste</t>
  </si>
  <si>
    <t>Taille</t>
  </si>
  <si>
    <t>Numéro de l'échéance</t>
  </si>
  <si>
    <t>Unité d'achat</t>
  </si>
  <si>
    <t>Montant devise aux interfaces BAPI</t>
  </si>
  <si>
    <t>Valeur nette</t>
  </si>
  <si>
    <t>Devise</t>
  </si>
  <si>
    <t>Date livr. statist.</t>
  </si>
  <si>
    <t>Date d'entrée</t>
  </si>
  <si>
    <t>Date prix</t>
  </si>
  <si>
    <t>Fournisseur Livraison</t>
  </si>
  <si>
    <t>Conditions paiement</t>
  </si>
  <si>
    <t>sku</t>
  </si>
  <si>
    <t>COHIZ-F67008IAI</t>
  </si>
  <si>
    <t>PXBHZ-F65101CAD</t>
  </si>
  <si>
    <t>PXBHZ-F65101LZZ</t>
  </si>
  <si>
    <t>PXBHZ-H65077CAE</t>
  </si>
  <si>
    <t>PXBHZ-H65077LZZ</t>
  </si>
  <si>
    <t>PXBMW-F63034FAB</t>
  </si>
  <si>
    <t>PXCBC-F63033LZZ</t>
  </si>
  <si>
    <t>PXCBC-F63037DAB</t>
  </si>
  <si>
    <t>PXCBC-F67008DAB</t>
  </si>
  <si>
    <t>PXCBC-F67008LAO</t>
  </si>
  <si>
    <t>PXCBC-F67008LZZ</t>
  </si>
  <si>
    <t>PXCBC-F67043DAB</t>
  </si>
  <si>
    <t>PXCBC-F67043LZZ</t>
  </si>
  <si>
    <t>PXCBC-F67081DAB</t>
  </si>
  <si>
    <t>PXCBC-F67081LAO</t>
  </si>
  <si>
    <t>PXCBC-F67081LZZ</t>
  </si>
  <si>
    <t>PXCBC-H63044IBC</t>
  </si>
  <si>
    <t>PXCBC-H63044LZZ</t>
  </si>
  <si>
    <t>PXCBC-H65077LZZ</t>
  </si>
  <si>
    <t>PXCBC-M65222CAV</t>
  </si>
  <si>
    <t>PXCBC-M65222LZZ</t>
  </si>
  <si>
    <t>PXCBC-M67115IBC</t>
  </si>
  <si>
    <t>PXCBC-M67115LZZ</t>
  </si>
  <si>
    <t>PXCBS-F63037LZZ</t>
  </si>
  <si>
    <t>PXCEU-F67008FAB</t>
  </si>
  <si>
    <t>PXCEU-F67008KBG</t>
  </si>
  <si>
    <t>PXCEU-F67043FAB</t>
  </si>
  <si>
    <t>PXCEU-F67043KBG</t>
  </si>
  <si>
    <t>PXCEU-F67081FAB</t>
  </si>
  <si>
    <t>PXCEU-F67081KBG</t>
  </si>
  <si>
    <t>PXCEV-F63034GAA</t>
  </si>
  <si>
    <t>PXCEV-F63034LZZ</t>
  </si>
  <si>
    <t>PXCEV-F63037GAA</t>
  </si>
  <si>
    <t>PXCEV-F67008GAA</t>
  </si>
  <si>
    <t>PXCEV-F67081GAA</t>
  </si>
  <si>
    <t>PXCFV-F63023TLD</t>
  </si>
  <si>
    <t>Total général</t>
  </si>
  <si>
    <t>Somme de Quantité échéancée</t>
  </si>
  <si>
    <t>Prix</t>
  </si>
  <si>
    <t>Total IAITU</t>
  </si>
  <si>
    <t>Total COHIZ-F67008</t>
  </si>
  <si>
    <t>Total CAD75</t>
  </si>
  <si>
    <t>Total CAD80</t>
  </si>
  <si>
    <t>Total CAD85</t>
  </si>
  <si>
    <t>Total CAD90</t>
  </si>
  <si>
    <t>Total LZZ75</t>
  </si>
  <si>
    <t>Total LZZ80</t>
  </si>
  <si>
    <t>Total LZZ85</t>
  </si>
  <si>
    <t>Total PXBHZ-F65101</t>
  </si>
  <si>
    <t>Total CAE100</t>
  </si>
  <si>
    <t>Total CAE85</t>
  </si>
  <si>
    <t>Total CAE90</t>
  </si>
  <si>
    <t>Total CAE95</t>
  </si>
  <si>
    <t>Total LZZ100</t>
  </si>
  <si>
    <t>Total LZZ90</t>
  </si>
  <si>
    <t>Total LZZ95</t>
  </si>
  <si>
    <t>Total PXBHZ-H65077</t>
  </si>
  <si>
    <t>Total FABTU</t>
  </si>
  <si>
    <t>Total PXBMW-F63034</t>
  </si>
  <si>
    <t>Total LZZTU</t>
  </si>
  <si>
    <t>Total PXCBC-F63033</t>
  </si>
  <si>
    <t>Total DABTU</t>
  </si>
  <si>
    <t>Total PXCBC-F63037</t>
  </si>
  <si>
    <t>Total LAOTU</t>
  </si>
  <si>
    <t>Total PXCBC-F67008</t>
  </si>
  <si>
    <t>Total PXCBC-F67043</t>
  </si>
  <si>
    <t>Total PXCBC-F67081</t>
  </si>
  <si>
    <t>Total IBCTU</t>
  </si>
  <si>
    <t>Total PXCBC-H63044</t>
  </si>
  <si>
    <t>Total PXCBC-H65077</t>
  </si>
  <si>
    <t>Total CAVL</t>
  </si>
  <si>
    <t>Total CAVM</t>
  </si>
  <si>
    <t>Total CAVS</t>
  </si>
  <si>
    <t>Total LZZL</t>
  </si>
  <si>
    <t>Total LZZM</t>
  </si>
  <si>
    <t>Total LZZS</t>
  </si>
  <si>
    <t>Total PXCBC-M65222</t>
  </si>
  <si>
    <t>Total PXCBC-M67115</t>
  </si>
  <si>
    <t>Total PXCBS-F63037</t>
  </si>
  <si>
    <t>Total KBGTU</t>
  </si>
  <si>
    <t>Total PXCEU-F67008</t>
  </si>
  <si>
    <t>Total PXCEU-F67043</t>
  </si>
  <si>
    <t>Total PXCEU-F67081</t>
  </si>
  <si>
    <t>Total GAATU</t>
  </si>
  <si>
    <t>Total PXCEV-F63034</t>
  </si>
  <si>
    <t>Total PXCEV-F63037</t>
  </si>
  <si>
    <t>Total PXCEV-F67008</t>
  </si>
  <si>
    <t>Total PXCEV-F67081</t>
  </si>
  <si>
    <t>Total TLDTU</t>
  </si>
  <si>
    <t>Total PXCFV-F63023</t>
  </si>
  <si>
    <t>PXCBS-F63037 = PXCEV !! On a pas changé le code thème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</si>
</sst>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000"/>
  </numFmts>
  <fonts count="4" x14ac:knownFonts="1">
    <font>
      <sz val="10"/>
      <name val="Arial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0" fillId="0" borderId="0" xfId="0" pivotButton="1" applyAlignment="1">
      <alignment vertical="top"/>
    </xf>
    <xf numFmtId="0" fontId="2" fillId="3" borderId="2" xfId="0" applyFont="1" applyFill="1" applyBorder="1"/>
    <xf numFmtId="3" fontId="0" fillId="0" borderId="0" xfId="0" applyNumberFormat="1" applyAlignment="1">
      <alignment vertical="top"/>
    </xf>
    <xf numFmtId="0" fontId="0" fillId="4" borderId="0" xfId="0" applyFill="1" applyAlignment="1">
      <alignment vertical="top"/>
    </xf>
    <xf numFmtId="3" fontId="0" fillId="4" borderId="0" xfId="0" applyNumberFormat="1" applyFill="1" applyAlignment="1">
      <alignment vertical="top"/>
    </xf>
    <xf numFmtId="0" fontId="0" fillId="5" borderId="0" xfId="0" applyFill="1" applyAlignment="1">
      <alignment vertical="top"/>
    </xf>
    <xf numFmtId="3" fontId="0" fillId="5" borderId="0" xfId="0" applyNumberFormat="1" applyFill="1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10">
    <dxf>
      <numFmt numFmtId="3" formatCode="#,##0"/>
    </dxf>
    <dxf>
      <fill>
        <patternFill patternType="solid">
          <bgColor theme="7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3" formatCode="#,##0"/>
    </dxf>
    <dxf>
      <fill>
        <patternFill patternType="solid">
          <bgColor theme="7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3" formatCode="#,##0"/>
    </dxf>
    <dxf>
      <fill>
        <patternFill patternType="solid">
          <bgColor theme="5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pivotCache/pivotCacheDefinition1.xml" Type="http://schemas.openxmlformats.org/officeDocument/2006/relationships/pivotCacheDefinition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da MOVSES" refreshedDate="46230.495333796294" createdVersion="8" refreshedVersion="8" minRefreshableVersion="3" recordCount="162" xr:uid="{AAA88999-A87D-4D8B-AAD0-636B93F08384}">
  <cacheSource type="worksheet">
    <worksheetSource ref="A1:AN163" sheet="Sheet1"/>
  </cacheSource>
  <cacheFields count="40">
    <cacheField name="Code de saison" numFmtId="0">
      <sharedItems/>
    </cacheField>
    <cacheField name="Collection" numFmtId="0">
      <sharedItems/>
    </cacheField>
    <cacheField name="Livraison finale" numFmtId="0">
      <sharedItems/>
    </cacheField>
    <cacheField name="Notre référence" numFmtId="0">
      <sharedItems/>
    </cacheField>
    <cacheField name="Catégorie de stock" numFmtId="0">
      <sharedItems count="5">
        <s v="WH"/>
        <s v="UST"/>
        <s v="JPT"/>
        <s v="KRT"/>
        <s v="RT"/>
      </sharedItems>
    </cacheField>
    <cacheField name="Votre référence" numFmtId="0">
      <sharedItems/>
    </cacheField>
    <cacheField name="Nom 1" numFmtId="0">
      <sharedItems/>
    </cacheField>
    <cacheField name="sku" numFmtId="0">
      <sharedItems count="36">
        <s v="PXBMW-F63034FAB"/>
        <s v="PXCBC-F67043LZZ"/>
        <s v="PXCEU-F67043KBG"/>
        <s v="PXCEU-F67081KBG"/>
        <s v="PXCEU-F67081FAB"/>
        <s v="PXCEV-F63034GAA"/>
        <s v="PXCEV-F67081GAA"/>
        <s v="PXCBC-F67008LAO"/>
        <s v="PXCBC-F67008DAB"/>
        <s v="PXCBC-F67043DAB"/>
        <s v="PXCBC-M67115IBC"/>
        <s v="PXCEU-F67043FAB"/>
        <s v="PXCFV-F63023TLD"/>
        <s v="PXCBC-F67081DAB"/>
        <s v="PXCEV-F67008GAA"/>
        <s v="PXCBC-F67008LZZ"/>
        <s v="PXCBC-M67115LZZ"/>
        <s v="COHIZ-F67008IAI"/>
        <s v="PXBHZ-F65101LZZ"/>
        <s v="PXBHZ-F65101CAD"/>
        <s v="PXBHZ-H65077LZZ"/>
        <s v="PXCBC-F63033LZZ"/>
        <s v="PXCBC-F63037DAB"/>
        <s v="PXCBC-F67081LZZ"/>
        <s v="PXCBC-M65222LZZ"/>
        <s v="PXCEV-F63037GAA"/>
        <s v="PXCEV-F63034LZZ"/>
        <s v="PXCBC-H63044IBC"/>
        <s v="PXCEU-F67008FAB"/>
        <s v="PXBHZ-H65077CAE"/>
        <s v="PXCBC-H65077LZZ"/>
        <s v="PXCBC-H63044LZZ"/>
        <s v="PXCBC-M65222CAV"/>
        <s v="PXCEU-F67008KBG"/>
        <s v="PXCBS-F63037LZZ"/>
        <s v="PXCBC-F67081LAO"/>
      </sharedItems>
    </cacheField>
    <cacheField name="Document d'achat" numFmtId="0">
      <sharedItems count="97">
        <s v="4100132415"/>
        <s v="4100132821"/>
        <s v="4100132828"/>
        <s v="4100132830"/>
        <s v="4100132936"/>
        <s v="4100132939"/>
        <s v="4100132931"/>
        <s v="4100132933"/>
        <s v="4100132409"/>
        <s v="4100132812"/>
        <s v="4100132814"/>
        <s v="4100132815"/>
        <s v="4100132924"/>
        <s v="4100132926"/>
        <s v="4100132927"/>
        <s v="4100132928"/>
        <s v="4100132929"/>
        <s v="4100132811"/>
        <s v="4100132813"/>
        <s v="4100132925"/>
        <s v="4100132407"/>
        <s v="4100132796"/>
        <s v="4100132797"/>
        <s v="4100132798"/>
        <s v="4100132799"/>
        <s v="4100132800"/>
        <s v="4100132801"/>
        <s v="4100132802"/>
        <s v="4100132803"/>
        <s v="4100132804"/>
        <s v="4100132805"/>
        <s v="4100132806"/>
        <s v="4100132915"/>
        <s v="4100132916"/>
        <s v="4100132917"/>
        <s v="4100132918"/>
        <s v="4100132919"/>
        <s v="4100132408"/>
        <s v="4100132807"/>
        <s v="4100132808"/>
        <s v="4100132809"/>
        <s v="4100132810"/>
        <s v="4100132920"/>
        <s v="4100132921"/>
        <s v="4100132922"/>
        <s v="4100132923"/>
        <s v="4100132422"/>
        <s v="4100132833"/>
        <s v="4100132834"/>
        <s v="4100132835"/>
        <s v="4100132836"/>
        <s v="4100132837"/>
        <s v="4100132838"/>
        <s v="4100132839"/>
        <s v="4100132840"/>
        <s v="4100132841"/>
        <s v="4100132842"/>
        <s v="4100132843"/>
        <s v="4100132844"/>
        <s v="4100132845"/>
        <s v="4100132846"/>
        <s v="4100132940"/>
        <s v="4100132941"/>
        <s v="4100132942"/>
        <s v="4100132943"/>
        <s v="4100132944"/>
        <s v="4100132945"/>
        <s v="4100132946"/>
        <s v="4100132947"/>
        <s v="4100132816"/>
        <s v="4100132847"/>
        <s v="4100132848"/>
        <s v="4100132849"/>
        <s v="4100132948"/>
        <s v="4100132949"/>
        <s v="4100132950"/>
        <s v="4100132414"/>
        <s v="4100132817"/>
        <s v="4100132818"/>
        <s v="4100132819"/>
        <s v="4100132820"/>
        <s v="4100132822"/>
        <s v="4100132823"/>
        <s v="4100132824"/>
        <s v="4100132825"/>
        <s v="4100132826"/>
        <s v="4100132827"/>
        <s v="4100132829"/>
        <s v="4100132831"/>
        <s v="4100132832"/>
        <s v="4100132930"/>
        <s v="4100132932"/>
        <s v="4100132934"/>
        <s v="4100132935"/>
        <s v="4100132937"/>
        <s v="4100132938"/>
        <s v="4100133081"/>
      </sharedItems>
    </cacheField>
    <cacheField name="Article" numFmtId="0">
      <sharedItems count="22">
        <s v="PXBMW-F63034"/>
        <s v="PXCBC-F67043"/>
        <s v="PXCEU-F67043"/>
        <s v="PXCEU-F67081"/>
        <s v="PXCEV-F63034"/>
        <s v="PXCEV-F67081"/>
        <s v="PXCBC-F67008"/>
        <s v="PXCBC-M67115"/>
        <s v="PXCFV-F63023"/>
        <s v="PXCBC-F67081"/>
        <s v="PXCEV-F67008"/>
        <s v="COHIZ-F67008"/>
        <s v="PXBHZ-F65101"/>
        <s v="PXBHZ-H65077"/>
        <s v="PXCBC-F63033"/>
        <s v="PXCBC-F63037"/>
        <s v="PXCBC-M65222"/>
        <s v="PXCEV-F63037"/>
        <s v="PXCBC-H63044"/>
        <s v="PXCEU-F67008"/>
        <s v="PXCBC-H65077"/>
        <s v="PXCBS-F63037"/>
      </sharedItems>
    </cacheField>
    <cacheField name="Désignation" numFmtId="0">
      <sharedItems count="11">
        <s v="enveloppe card holder"/>
        <s v="le neige clou"/>
        <s v="le neige mini"/>
        <s v="le neige"/>
        <s v="maxi neige"/>
        <s v="la pochette neige clou"/>
        <s v="ceinture rosette"/>
        <s v="ceinture paris"/>
        <s v="porte-monnaie neige rond"/>
        <s v="bifold tokyo"/>
        <s v="ceinture gabriel"/>
      </sharedItems>
    </cacheField>
    <cacheField name="Prix net" numFmtId="4">
      <sharedItems containsSemiMixedTypes="0" containsString="0" containsNumber="1" minValue="1" maxValue="89.68"/>
    </cacheField>
    <cacheField name="Quantité échéancée" numFmtId="164">
      <sharedItems containsSemiMixedTypes="0" containsString="0" containsNumber="1" containsInteger="1" minValue="1" maxValue="320"/>
    </cacheField>
    <cacheField name="Valeur de grille" numFmtId="0">
      <sharedItems count="29">
        <s v="FABTU"/>
        <s v="LZZTU"/>
        <s v="KBGTU"/>
        <s v="GAATU"/>
        <s v="LAOTU"/>
        <s v="DABTU"/>
        <s v="IBCTU"/>
        <s v="TLDTU"/>
        <s v="IAITU"/>
        <s v="LZZ80"/>
        <s v="CAD80"/>
        <s v="LZZ75"/>
        <s v="CAD75"/>
        <s v="LZZ95"/>
        <s v="LZZ100"/>
        <s v="LZZM"/>
        <s v="CAD90"/>
        <s v="CAE95"/>
        <s v="LZZ90"/>
        <s v="CAE90"/>
        <s v="LZZ85"/>
        <s v="CAE85"/>
        <s v="LZZL"/>
        <s v="CAVS"/>
        <s v="CAVM"/>
        <s v="CAVL"/>
        <s v="CAD85"/>
        <s v="CAE100"/>
        <s v="LZZS"/>
      </sharedItems>
    </cacheField>
    <cacheField name="Date livraison" numFmtId="14">
      <sharedItems containsSemiMixedTypes="0" containsNonDate="0" containsDate="1" containsString="0" minDate="2026-07-27T00:00:00" maxDate="2026-12-01T00:00:00"/>
    </cacheField>
    <cacheField name="Créé par" numFmtId="0">
      <sharedItems/>
    </cacheField>
    <cacheField name="Code de suppression" numFmtId="0">
      <sharedItems/>
    </cacheField>
    <cacheField name="Ligne" numFmtId="0">
      <sharedItems/>
    </cacheField>
    <cacheField name="Date du document" numFmtId="14">
      <sharedItems containsSemiMixedTypes="0" containsNonDate="0" containsDate="1" containsString="0" minDate="2026-07-23T00:00:00" maxDate="2026-07-28T00:00:00"/>
    </cacheField>
    <cacheField name="Type de stock" numFmtId="0">
      <sharedItems/>
    </cacheField>
    <cacheField name="Saison" numFmtId="0">
      <sharedItems/>
    </cacheField>
    <cacheField name="Type document achat" numFmtId="0">
      <sharedItems/>
    </cacheField>
    <cacheField name="Organisation achats" numFmtId="0">
      <sharedItems/>
    </cacheField>
    <cacheField name="Groupe d'acheteurs" numFmtId="0">
      <sharedItems/>
    </cacheField>
    <cacheField name="Division" numFmtId="0">
      <sharedItems/>
    </cacheField>
    <cacheField name="Magasin" numFmtId="0">
      <sharedItems/>
    </cacheField>
    <cacheField name="Fournisseur" numFmtId="0">
      <sharedItems/>
    </cacheField>
    <cacheField name="Poste" numFmtId="0">
      <sharedItems/>
    </cacheField>
    <cacheField name="Taille" numFmtId="0">
      <sharedItems/>
    </cacheField>
    <cacheField name="Numéro de l'échéance" numFmtId="0">
      <sharedItems/>
    </cacheField>
    <cacheField name="Unité d'achat" numFmtId="0">
      <sharedItems/>
    </cacheField>
    <cacheField name="Montant devise aux interfaces BAPI" numFmtId="165">
      <sharedItems containsSemiMixedTypes="0" containsString="0" containsNumber="1" minValue="1" maxValue="89.68"/>
    </cacheField>
    <cacheField name="Valeur nette" numFmtId="4">
      <sharedItems containsSemiMixedTypes="0" containsString="0" containsNumber="1" minValue="1" maxValue="21337.599999999999"/>
    </cacheField>
    <cacheField name="Devise" numFmtId="0">
      <sharedItems/>
    </cacheField>
    <cacheField name="Date livr. statist." numFmtId="14">
      <sharedItems containsSemiMixedTypes="0" containsNonDate="0" containsDate="1" containsString="0" minDate="2026-07-27T00:00:00" maxDate="2026-12-01T00:00:00"/>
    </cacheField>
    <cacheField name="Date d'entrée" numFmtId="14">
      <sharedItems containsSemiMixedTypes="0" containsNonDate="0" containsDate="1" containsString="0" minDate="2026-07-30T00:00:00" maxDate="2026-12-08T00:00:00"/>
    </cacheField>
    <cacheField name="Date prix" numFmtId="14">
      <sharedItems containsSemiMixedTypes="0" containsNonDate="0" containsDate="1" containsString="0" minDate="2026-07-23T00:00:00" maxDate="2026-07-28T00:00:00"/>
    </cacheField>
    <cacheField name="Fournisseur Livraison" numFmtId="0">
      <sharedItems/>
    </cacheField>
    <cacheField name="Fournisseur Livraison2" numFmtId="0">
      <sharedItems/>
    </cacheField>
    <cacheField name="Conditions paie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s v="27E"/>
    <s v="E2"/>
    <s v=""/>
    <s v="Australia"/>
    <x v="0"/>
    <s v="08"/>
    <s v="PUNTOTRES BAGS &amp; BELTS, s.l."/>
    <x v="0"/>
    <x v="0"/>
    <x v="0"/>
    <x v="0"/>
    <n v="1"/>
    <n v="10"/>
    <x v="0"/>
    <d v="2026-11-30T00:00:00"/>
    <s v="SMOVSES"/>
    <s v=""/>
    <s v="1"/>
    <d v="2026-07-23T00:00:00"/>
    <s v="B"/>
    <s v=""/>
    <s v="YNBP"/>
    <s v="FR01"/>
    <s v="A01"/>
    <s v="F003"/>
    <s v="F003"/>
    <s v="ES02AB005"/>
    <s v="10"/>
    <s v="TU"/>
    <s v="1"/>
    <s v="PC"/>
    <n v="1"/>
    <n v="10"/>
    <s v="EUR"/>
    <d v="2026-11-30T00:00:00"/>
    <d v="2026-12-03T00:00:00"/>
    <d v="2026-07-23T00:00:00"/>
    <s v=""/>
    <s v=""/>
    <s v="6000"/>
  </r>
  <r>
    <s v="27E"/>
    <s v="E2"/>
    <s v=""/>
    <s v="Australia"/>
    <x v="0"/>
    <s v="08"/>
    <s v="PUNTOTRES BAGS &amp; BELTS, s.l."/>
    <x v="1"/>
    <x v="1"/>
    <x v="1"/>
    <x v="1"/>
    <n v="66.680000000000007"/>
    <n v="24"/>
    <x v="1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66.680000000000007"/>
    <n v="1600.32"/>
    <s v="EUR"/>
    <d v="2026-11-30T00:00:00"/>
    <d v="2026-12-03T00:00:00"/>
    <d v="2026-07-24T00:00:00"/>
    <s v=""/>
    <s v=""/>
    <s v="6000"/>
  </r>
  <r>
    <s v="27E"/>
    <s v="E2"/>
    <s v=""/>
    <s v="Australia"/>
    <x v="0"/>
    <s v="08"/>
    <s v="PUNTOTRES BAGS &amp; BELTS, s.l."/>
    <x v="2"/>
    <x v="2"/>
    <x v="2"/>
    <x v="1"/>
    <n v="89.68"/>
    <n v="10"/>
    <x v="2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89.68"/>
    <n v="896.8"/>
    <s v="EUR"/>
    <d v="2026-11-30T00:00:00"/>
    <d v="2026-12-03T00:00:00"/>
    <d v="2026-07-24T00:00:00"/>
    <s v=""/>
    <s v=""/>
    <s v="6000"/>
  </r>
  <r>
    <s v="27E"/>
    <s v="E2"/>
    <s v=""/>
    <s v="Australia"/>
    <x v="0"/>
    <s v="08"/>
    <s v="PUNTOTRES BAGS &amp; BELTS, s.l."/>
    <x v="3"/>
    <x v="3"/>
    <x v="3"/>
    <x v="2"/>
    <n v="45.5"/>
    <n v="10"/>
    <x v="2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45.5"/>
    <n v="455"/>
    <s v="EUR"/>
    <d v="2026-11-30T00:00:00"/>
    <d v="2026-12-03T00:00:00"/>
    <d v="2026-07-24T00:00:00"/>
    <s v=""/>
    <s v=""/>
    <s v="6000"/>
  </r>
  <r>
    <s v="27E"/>
    <s v="E2"/>
    <s v=""/>
    <s v="Australia"/>
    <x v="0"/>
    <s v="08"/>
    <s v="PUNTOTRES BAGS &amp; BELTS, s.l."/>
    <x v="4"/>
    <x v="3"/>
    <x v="3"/>
    <x v="2"/>
    <n v="45.5"/>
    <n v="12"/>
    <x v="0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2"/>
    <s v="PC"/>
    <n v="45.5"/>
    <n v="546"/>
    <s v="EUR"/>
    <d v="2026-11-30T00:00:00"/>
    <d v="2026-12-03T00:00:00"/>
    <d v="2026-07-24T00:00:00"/>
    <s v=""/>
    <s v=""/>
    <s v="6000"/>
  </r>
  <r>
    <s v="27E"/>
    <s v="E2"/>
    <s v=""/>
    <s v="Australia"/>
    <x v="0"/>
    <s v="08"/>
    <s v="PUNTOTRES BAGS &amp; BELTS, s.l."/>
    <x v="5"/>
    <x v="4"/>
    <x v="4"/>
    <x v="0"/>
    <n v="30"/>
    <n v="10"/>
    <x v="3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30"/>
    <n v="300"/>
    <s v="EUR"/>
    <d v="2026-11-30T00:00:00"/>
    <d v="2026-12-03T00:00:00"/>
    <d v="2026-07-24T00:00:00"/>
    <s v=""/>
    <s v=""/>
    <s v="6000"/>
  </r>
  <r>
    <s v="27E"/>
    <s v="E2"/>
    <s v=""/>
    <s v="Australia"/>
    <x v="0"/>
    <s v="08"/>
    <s v="PUNTOTRES BAGS &amp; BELTS, s.l."/>
    <x v="6"/>
    <x v="5"/>
    <x v="5"/>
    <x v="2"/>
    <n v="46"/>
    <n v="17"/>
    <x v="3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46"/>
    <n v="782"/>
    <s v="EUR"/>
    <d v="2026-11-30T00:00:00"/>
    <d v="2026-12-03T00:00:00"/>
    <d v="2026-07-24T00:00:00"/>
    <s v=""/>
    <s v=""/>
    <s v="6000"/>
  </r>
  <r>
    <s v="27E"/>
    <s v="E2"/>
    <s v=""/>
    <s v="Chine franch"/>
    <x v="0"/>
    <s v="10"/>
    <s v="PUNTOTRES BAGS &amp; BELTS, s.l."/>
    <x v="7"/>
    <x v="6"/>
    <x v="6"/>
    <x v="3"/>
    <n v="67.8"/>
    <n v="10"/>
    <x v="4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67.8"/>
    <n v="678"/>
    <s v="EUR"/>
    <d v="2026-11-30T00:00:00"/>
    <d v="2026-12-03T00:00:00"/>
    <d v="2026-07-24T00:00:00"/>
    <s v=""/>
    <s v=""/>
    <s v="6000"/>
  </r>
  <r>
    <s v="27E"/>
    <s v="E2"/>
    <s v=""/>
    <s v="Chine franch"/>
    <x v="0"/>
    <s v="10"/>
    <s v="PUNTOTRES BAGS &amp; BELTS, s.l."/>
    <x v="8"/>
    <x v="6"/>
    <x v="6"/>
    <x v="3"/>
    <n v="67.8"/>
    <n v="10"/>
    <x v="5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2"/>
    <s v="PC"/>
    <n v="67.8"/>
    <n v="678"/>
    <s v="EUR"/>
    <d v="2026-11-30T00:00:00"/>
    <d v="2026-12-03T00:00:00"/>
    <d v="2026-07-24T00:00:00"/>
    <s v=""/>
    <s v=""/>
    <s v="6000"/>
  </r>
  <r>
    <s v="27E"/>
    <s v="E2"/>
    <s v=""/>
    <s v="Chine franch"/>
    <x v="0"/>
    <s v="10"/>
    <s v="PUNTOTRES BAGS &amp; BELTS, s.l."/>
    <x v="9"/>
    <x v="7"/>
    <x v="1"/>
    <x v="1"/>
    <n v="66.5"/>
    <n v="10"/>
    <x v="5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66.5"/>
    <n v="665"/>
    <s v="EUR"/>
    <d v="2026-11-30T00:00:00"/>
    <d v="2026-12-03T00:00:00"/>
    <d v="2026-07-24T00:00:00"/>
    <s v=""/>
    <s v=""/>
    <s v="6000"/>
  </r>
  <r>
    <s v="27E"/>
    <s v="E2"/>
    <s v=""/>
    <s v="Douanes USA"/>
    <x v="1"/>
    <s v="02"/>
    <s v="PUNTOTRES BAGS &amp; BELTS, s.l."/>
    <x v="0"/>
    <x v="8"/>
    <x v="0"/>
    <x v="0"/>
    <n v="1"/>
    <n v="10"/>
    <x v="0"/>
    <d v="2026-11-30T00:00:00"/>
    <s v="SMOVSES"/>
    <s v=""/>
    <s v="1"/>
    <d v="2026-07-23T00:00:00"/>
    <s v="B"/>
    <s v=""/>
    <s v="YNBP"/>
    <s v="FR01"/>
    <s v="A01"/>
    <s v="F000"/>
    <s v="F000"/>
    <s v="ES02AB005"/>
    <s v="10"/>
    <s v="TU"/>
    <s v="1"/>
    <s v="PC"/>
    <n v="1"/>
    <n v="10"/>
    <s v="EUR"/>
    <d v="2026-11-30T00:00:00"/>
    <d v="2026-12-04T00:00:00"/>
    <d v="2026-07-23T00:00:00"/>
    <s v=""/>
    <s v=""/>
    <s v="6000"/>
  </r>
  <r>
    <s v="27E"/>
    <s v="E2"/>
    <s v=""/>
    <s v="Douanes USA"/>
    <x v="1"/>
    <s v="02"/>
    <s v="PUNTOTRES BAGS &amp; BELTS, s.l."/>
    <x v="10"/>
    <x v="9"/>
    <x v="7"/>
    <x v="4"/>
    <n v="86"/>
    <n v="9"/>
    <x v="6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86"/>
    <n v="774"/>
    <s v="EUR"/>
    <d v="2026-11-30T00:00:00"/>
    <d v="2026-12-04T00:00:00"/>
    <d v="2026-07-24T00:00:00"/>
    <s v=""/>
    <s v=""/>
    <s v="6000"/>
  </r>
  <r>
    <s v="27E"/>
    <s v="E2"/>
    <s v=""/>
    <s v="Douanes USA"/>
    <x v="1"/>
    <s v="02"/>
    <s v="PUNTOTRES BAGS &amp; BELTS, s.l."/>
    <x v="11"/>
    <x v="10"/>
    <x v="2"/>
    <x v="1"/>
    <n v="89.68"/>
    <n v="11"/>
    <x v="0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89.68"/>
    <n v="986.48"/>
    <s v="EUR"/>
    <d v="2026-11-30T00:00:00"/>
    <d v="2026-12-04T00:00:00"/>
    <d v="2026-07-24T00:00:00"/>
    <s v=""/>
    <s v=""/>
    <s v="6000"/>
  </r>
  <r>
    <s v="27E"/>
    <s v="E2"/>
    <s v=""/>
    <s v="Douanes USA"/>
    <x v="1"/>
    <s v="02"/>
    <s v="PUNTOTRES BAGS &amp; BELTS, s.l."/>
    <x v="12"/>
    <x v="11"/>
    <x v="8"/>
    <x v="5"/>
    <n v="1"/>
    <n v="8"/>
    <x v="7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1"/>
    <n v="8"/>
    <s v="EUR"/>
    <d v="2026-11-30T00:00:00"/>
    <d v="2026-12-04T00:00:00"/>
    <d v="2026-07-24T00:00:00"/>
    <s v=""/>
    <s v=""/>
    <s v="6000"/>
  </r>
  <r>
    <s v="27E"/>
    <s v="E2"/>
    <s v=""/>
    <s v="Douanes USA"/>
    <x v="1"/>
    <s v="02"/>
    <s v="PUNTOTRES BAGS &amp; BELTS, s.l."/>
    <x v="8"/>
    <x v="12"/>
    <x v="6"/>
    <x v="3"/>
    <n v="67.8"/>
    <n v="16"/>
    <x v="5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67.8"/>
    <n v="1084.8"/>
    <s v="EUR"/>
    <d v="2026-11-30T00:00:00"/>
    <d v="2026-12-04T00:00:00"/>
    <d v="2026-07-24T00:00:00"/>
    <s v=""/>
    <s v=""/>
    <s v="6000"/>
  </r>
  <r>
    <s v="27E"/>
    <s v="E2"/>
    <s v=""/>
    <s v="Douanes USA"/>
    <x v="1"/>
    <s v="02"/>
    <s v="PUNTOTRES BAGS &amp; BELTS, s.l."/>
    <x v="13"/>
    <x v="13"/>
    <x v="9"/>
    <x v="2"/>
    <n v="38.5"/>
    <n v="19"/>
    <x v="5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38.5"/>
    <n v="731.5"/>
    <s v="EUR"/>
    <d v="2026-11-30T00:00:00"/>
    <d v="2026-12-04T00:00:00"/>
    <d v="2026-07-24T00:00:00"/>
    <s v=""/>
    <s v=""/>
    <s v="6000"/>
  </r>
  <r>
    <s v="27E"/>
    <s v="E2"/>
    <s v=""/>
    <s v="Douanes USA"/>
    <x v="1"/>
    <s v="02"/>
    <s v="PUNTOTRES BAGS &amp; BELTS, s.l."/>
    <x v="5"/>
    <x v="14"/>
    <x v="4"/>
    <x v="0"/>
    <n v="30"/>
    <n v="17"/>
    <x v="3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30"/>
    <n v="510"/>
    <s v="EUR"/>
    <d v="2026-11-30T00:00:00"/>
    <d v="2026-12-04T00:00:00"/>
    <d v="2026-07-24T00:00:00"/>
    <s v=""/>
    <s v=""/>
    <s v="6000"/>
  </r>
  <r>
    <s v="27E"/>
    <s v="E2"/>
    <s v=""/>
    <s v="Douanes USA"/>
    <x v="1"/>
    <s v="02"/>
    <s v="PUNTOTRES BAGS &amp; BELTS, s.l."/>
    <x v="14"/>
    <x v="15"/>
    <x v="10"/>
    <x v="3"/>
    <n v="81.5"/>
    <n v="19"/>
    <x v="3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81.5"/>
    <n v="1548.5"/>
    <s v="EUR"/>
    <d v="2026-11-30T00:00:00"/>
    <d v="2026-12-04T00:00:00"/>
    <d v="2026-07-24T00:00:00"/>
    <s v=""/>
    <s v=""/>
    <s v="6000"/>
  </r>
  <r>
    <s v="27E"/>
    <s v="E2"/>
    <s v=""/>
    <s v="Douanes USA"/>
    <x v="1"/>
    <s v="02"/>
    <s v="PUNTOTRES BAGS &amp; BELTS, s.l."/>
    <x v="6"/>
    <x v="16"/>
    <x v="5"/>
    <x v="2"/>
    <n v="46"/>
    <n v="19"/>
    <x v="3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46"/>
    <n v="874"/>
    <s v="EUR"/>
    <d v="2026-11-30T00:00:00"/>
    <d v="2026-12-04T00:00:00"/>
    <d v="2026-07-24T00:00:00"/>
    <s v=""/>
    <s v=""/>
    <s v="6000"/>
  </r>
  <r>
    <s v="27E"/>
    <s v="E2"/>
    <s v=""/>
    <s v="Douanes USA"/>
    <x v="1"/>
    <s v="09"/>
    <s v="PUNTOTRES BAGS &amp; BELTS, s.l."/>
    <x v="15"/>
    <x v="17"/>
    <x v="6"/>
    <x v="3"/>
    <n v="67.8"/>
    <n v="243"/>
    <x v="1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67.8"/>
    <n v="16475.400000000001"/>
    <s v="EUR"/>
    <d v="2026-11-30T00:00:00"/>
    <d v="2026-12-04T00:00:00"/>
    <d v="2026-07-24T00:00:00"/>
    <s v=""/>
    <s v=""/>
    <s v="6000"/>
  </r>
  <r>
    <s v="27E"/>
    <s v="E2"/>
    <s v=""/>
    <s v="Douanes USA"/>
    <x v="1"/>
    <s v="09"/>
    <s v="PUNTOTRES BAGS &amp; BELTS, s.l."/>
    <x v="16"/>
    <x v="18"/>
    <x v="7"/>
    <x v="4"/>
    <n v="86"/>
    <n v="1"/>
    <x v="1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86"/>
    <n v="86"/>
    <s v="EUR"/>
    <d v="2026-11-30T00:00:00"/>
    <d v="2026-12-04T00:00:00"/>
    <d v="2026-07-24T00:00:00"/>
    <s v=""/>
    <s v=""/>
    <s v="6000"/>
  </r>
  <r>
    <s v="27E"/>
    <s v="E2"/>
    <s v=""/>
    <s v="Douanes USA"/>
    <x v="1"/>
    <s v="09"/>
    <s v="PUNTOTRES BAGS &amp; BELTS, s.l."/>
    <x v="8"/>
    <x v="19"/>
    <x v="6"/>
    <x v="3"/>
    <n v="67.8"/>
    <n v="225"/>
    <x v="5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67.8"/>
    <n v="15255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0"/>
    <x v="20"/>
    <x v="0"/>
    <x v="0"/>
    <n v="1"/>
    <n v="15"/>
    <x v="0"/>
    <d v="2026-11-30T00:00:00"/>
    <s v="SMOVSES"/>
    <s v=""/>
    <s v="1"/>
    <d v="2026-07-23T00:00:00"/>
    <s v="B"/>
    <s v=""/>
    <s v="YNBP"/>
    <s v="FR01"/>
    <s v="A01"/>
    <s v="F000"/>
    <s v="F000"/>
    <s v="ES02AB005"/>
    <s v="10"/>
    <s v="TU"/>
    <s v="1"/>
    <s v="PC"/>
    <n v="1"/>
    <n v="15"/>
    <s v="EUR"/>
    <d v="2026-11-30T00:00:00"/>
    <d v="2026-12-04T00:00:00"/>
    <d v="2026-07-23T00:00:00"/>
    <s v=""/>
    <s v=""/>
    <s v="6000"/>
  </r>
  <r>
    <s v="27E"/>
    <s v="E2"/>
    <s v=""/>
    <s v="Japan"/>
    <x v="2"/>
    <s v="03"/>
    <s v="PUNTOTRES BAGS &amp; BELTS, s.l."/>
    <x v="17"/>
    <x v="21"/>
    <x v="11"/>
    <x v="3"/>
    <n v="44.45"/>
    <n v="200"/>
    <x v="8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44.45"/>
    <n v="8890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18"/>
    <x v="22"/>
    <x v="12"/>
    <x v="6"/>
    <n v="23.5"/>
    <n v="30"/>
    <x v="9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80"/>
    <s v="3"/>
    <s v="PC"/>
    <n v="23.5"/>
    <n v="705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19"/>
    <x v="22"/>
    <x v="12"/>
    <x v="6"/>
    <n v="23.5"/>
    <n v="30"/>
    <x v="10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80"/>
    <s v="2"/>
    <s v="PC"/>
    <n v="23.5"/>
    <n v="705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18"/>
    <x v="22"/>
    <x v="12"/>
    <x v="6"/>
    <n v="23.5"/>
    <n v="30"/>
    <x v="11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75"/>
    <s v="4"/>
    <s v="PC"/>
    <n v="23.5"/>
    <n v="705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19"/>
    <x v="22"/>
    <x v="12"/>
    <x v="6"/>
    <n v="23.5"/>
    <n v="30"/>
    <x v="12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75"/>
    <s v="1"/>
    <s v="PC"/>
    <n v="23.5"/>
    <n v="705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20"/>
    <x v="23"/>
    <x v="13"/>
    <x v="7"/>
    <n v="32.1"/>
    <n v="40"/>
    <x v="13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95"/>
    <s v="1"/>
    <s v="PC"/>
    <n v="32.1"/>
    <n v="1284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20"/>
    <x v="23"/>
    <x v="13"/>
    <x v="7"/>
    <n v="32.1"/>
    <n v="40"/>
    <x v="14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100"/>
    <s v="2"/>
    <s v="PC"/>
    <n v="32.1"/>
    <n v="1284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21"/>
    <x v="24"/>
    <x v="14"/>
    <x v="8"/>
    <n v="1"/>
    <n v="50"/>
    <x v="1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1"/>
    <n v="50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22"/>
    <x v="25"/>
    <x v="15"/>
    <x v="9"/>
    <n v="38.75"/>
    <n v="16"/>
    <x v="5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38.75"/>
    <n v="620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23"/>
    <x v="26"/>
    <x v="9"/>
    <x v="2"/>
    <n v="38.5"/>
    <n v="300"/>
    <x v="1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38.5"/>
    <n v="11550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24"/>
    <x v="27"/>
    <x v="16"/>
    <x v="10"/>
    <n v="21.35"/>
    <n v="1"/>
    <x v="15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M"/>
    <s v="1"/>
    <s v="PC"/>
    <n v="21.35"/>
    <n v="21.35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16"/>
    <x v="28"/>
    <x v="7"/>
    <x v="4"/>
    <n v="86"/>
    <n v="30"/>
    <x v="1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86"/>
    <n v="2580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2"/>
    <x v="29"/>
    <x v="2"/>
    <x v="1"/>
    <n v="89.68"/>
    <n v="50"/>
    <x v="2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89.68"/>
    <n v="4484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4"/>
    <x v="30"/>
    <x v="3"/>
    <x v="2"/>
    <n v="45.5"/>
    <n v="20"/>
    <x v="0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45.5"/>
    <n v="910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25"/>
    <x v="31"/>
    <x v="17"/>
    <x v="9"/>
    <n v="1"/>
    <n v="1"/>
    <x v="3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1"/>
    <n v="1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15"/>
    <x v="32"/>
    <x v="6"/>
    <x v="3"/>
    <n v="67.8"/>
    <n v="40"/>
    <x v="1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2"/>
    <s v="PC"/>
    <n v="67.8"/>
    <n v="2712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8"/>
    <x v="32"/>
    <x v="6"/>
    <x v="3"/>
    <n v="67.8"/>
    <n v="20"/>
    <x v="5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67.8"/>
    <n v="1356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1"/>
    <x v="33"/>
    <x v="1"/>
    <x v="1"/>
    <n v="66.680000000000007"/>
    <n v="320"/>
    <x v="1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2"/>
    <s v="PC"/>
    <n v="66.680000000000007"/>
    <n v="21337.599999999999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9"/>
    <x v="33"/>
    <x v="1"/>
    <x v="1"/>
    <n v="66.5"/>
    <n v="30"/>
    <x v="5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66.5"/>
    <n v="1995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26"/>
    <x v="34"/>
    <x v="4"/>
    <x v="0"/>
    <n v="30"/>
    <n v="1"/>
    <x v="1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30"/>
    <n v="30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5"/>
    <x v="34"/>
    <x v="4"/>
    <x v="0"/>
    <n v="30"/>
    <n v="31"/>
    <x v="3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2"/>
    <s v="PC"/>
    <n v="30"/>
    <n v="930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14"/>
    <x v="35"/>
    <x v="10"/>
    <x v="3"/>
    <n v="81.5"/>
    <n v="1"/>
    <x v="3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81.5"/>
    <n v="81.5"/>
    <s v="EUR"/>
    <d v="2026-11-30T00:00:00"/>
    <d v="2026-12-04T00:00:00"/>
    <d v="2026-07-24T00:00:00"/>
    <s v=""/>
    <s v=""/>
    <s v="6000"/>
  </r>
  <r>
    <s v="27E"/>
    <s v="E2"/>
    <s v=""/>
    <s v="Japan"/>
    <x v="2"/>
    <s v="03"/>
    <s v="PUNTOTRES BAGS &amp; BELTS, s.l."/>
    <x v="6"/>
    <x v="36"/>
    <x v="5"/>
    <x v="2"/>
    <n v="46"/>
    <n v="1"/>
    <x v="3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46"/>
    <n v="46"/>
    <s v="EUR"/>
    <d v="2026-11-30T00:00:00"/>
    <d v="2026-12-04T00:00:00"/>
    <d v="2026-07-24T00:00:00"/>
    <s v=""/>
    <s v=""/>
    <s v="6000"/>
  </r>
  <r>
    <s v="27E"/>
    <s v="E2"/>
    <s v=""/>
    <s v="Korea"/>
    <x v="3"/>
    <s v="04"/>
    <s v="PUNTOTRES BAGS &amp; BELTS, s.l."/>
    <x v="0"/>
    <x v="37"/>
    <x v="0"/>
    <x v="0"/>
    <n v="1"/>
    <n v="35"/>
    <x v="0"/>
    <d v="2026-11-30T00:00:00"/>
    <s v="SMOVSES"/>
    <s v=""/>
    <s v="1"/>
    <d v="2026-07-23T00:00:00"/>
    <s v="B"/>
    <s v=""/>
    <s v="YNBP"/>
    <s v="FR01"/>
    <s v="A01"/>
    <s v="F000"/>
    <s v="F000"/>
    <s v="ES02AB005"/>
    <s v="10"/>
    <s v="TU"/>
    <s v="1"/>
    <s v="PC"/>
    <n v="1"/>
    <n v="35"/>
    <s v="EUR"/>
    <d v="2026-11-30T00:00:00"/>
    <d v="2026-12-04T00:00:00"/>
    <d v="2026-07-23T00:00:00"/>
    <s v=""/>
    <s v=""/>
    <s v="6000"/>
  </r>
  <r>
    <s v="27E"/>
    <s v="E2"/>
    <s v=""/>
    <s v="Korea"/>
    <x v="3"/>
    <s v="04"/>
    <s v="PUNTOTRES BAGS &amp; BELTS, s.l."/>
    <x v="27"/>
    <x v="38"/>
    <x v="18"/>
    <x v="9"/>
    <n v="38.75"/>
    <n v="30"/>
    <x v="6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38.75"/>
    <n v="1162.5"/>
    <s v="EUR"/>
    <d v="2026-11-30T00:00:00"/>
    <d v="2026-12-04T00:00:00"/>
    <d v="2026-07-24T00:00:00"/>
    <s v=""/>
    <s v=""/>
    <s v="6000"/>
  </r>
  <r>
    <s v="27E"/>
    <s v="E2"/>
    <s v=""/>
    <s v="Korea"/>
    <x v="3"/>
    <s v="04"/>
    <s v="PUNTOTRES BAGS &amp; BELTS, s.l."/>
    <x v="28"/>
    <x v="39"/>
    <x v="19"/>
    <x v="3"/>
    <n v="85"/>
    <n v="30"/>
    <x v="0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85"/>
    <n v="2550"/>
    <s v="EUR"/>
    <d v="2026-11-30T00:00:00"/>
    <d v="2026-12-04T00:00:00"/>
    <d v="2026-07-24T00:00:00"/>
    <s v=""/>
    <s v=""/>
    <s v="6000"/>
  </r>
  <r>
    <s v="27E"/>
    <s v="E2"/>
    <s v=""/>
    <s v="Korea"/>
    <x v="3"/>
    <s v="04"/>
    <s v="PUNTOTRES BAGS &amp; BELTS, s.l."/>
    <x v="11"/>
    <x v="40"/>
    <x v="2"/>
    <x v="1"/>
    <n v="89.68"/>
    <n v="30"/>
    <x v="0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89.68"/>
    <n v="2690.4"/>
    <s v="EUR"/>
    <d v="2026-11-30T00:00:00"/>
    <d v="2026-12-04T00:00:00"/>
    <d v="2026-07-24T00:00:00"/>
    <s v=""/>
    <s v=""/>
    <s v="6000"/>
  </r>
  <r>
    <s v="27E"/>
    <s v="E2"/>
    <s v=""/>
    <s v="Korea"/>
    <x v="3"/>
    <s v="04"/>
    <s v="PUNTOTRES BAGS &amp; BELTS, s.l."/>
    <x v="4"/>
    <x v="41"/>
    <x v="3"/>
    <x v="2"/>
    <n v="45.5"/>
    <n v="45"/>
    <x v="0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45.5"/>
    <n v="2047.5"/>
    <s v="EUR"/>
    <d v="2026-11-30T00:00:00"/>
    <d v="2026-12-04T00:00:00"/>
    <d v="2026-07-24T00:00:00"/>
    <s v=""/>
    <s v=""/>
    <s v="6000"/>
  </r>
  <r>
    <s v="27E"/>
    <s v="E2"/>
    <s v=""/>
    <s v="Korea"/>
    <x v="3"/>
    <s v="04"/>
    <s v="PUNTOTRES BAGS &amp; BELTS, s.l."/>
    <x v="7"/>
    <x v="42"/>
    <x v="6"/>
    <x v="3"/>
    <n v="67.8"/>
    <n v="65"/>
    <x v="4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2"/>
    <s v="PC"/>
    <n v="67.8"/>
    <n v="4407"/>
    <s v="EUR"/>
    <d v="2026-11-30T00:00:00"/>
    <d v="2026-12-04T00:00:00"/>
    <d v="2026-07-24T00:00:00"/>
    <s v=""/>
    <s v=""/>
    <s v="6000"/>
  </r>
  <r>
    <s v="27E"/>
    <s v="E2"/>
    <s v=""/>
    <s v="Korea"/>
    <x v="3"/>
    <s v="04"/>
    <s v="PUNTOTRES BAGS &amp; BELTS, s.l."/>
    <x v="8"/>
    <x v="42"/>
    <x v="6"/>
    <x v="3"/>
    <n v="67.8"/>
    <n v="30"/>
    <x v="5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67.8"/>
    <n v="2034"/>
    <s v="EUR"/>
    <d v="2026-11-30T00:00:00"/>
    <d v="2026-12-04T00:00:00"/>
    <d v="2026-07-24T00:00:00"/>
    <s v=""/>
    <s v=""/>
    <s v="6000"/>
  </r>
  <r>
    <s v="27E"/>
    <s v="E2"/>
    <s v=""/>
    <s v="Korea"/>
    <x v="3"/>
    <s v="04"/>
    <s v="PUNTOTRES BAGS &amp; BELTS, s.l."/>
    <x v="9"/>
    <x v="43"/>
    <x v="1"/>
    <x v="1"/>
    <n v="66.5"/>
    <n v="35"/>
    <x v="5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66.5"/>
    <n v="2327.5"/>
    <s v="EUR"/>
    <d v="2026-11-30T00:00:00"/>
    <d v="2026-12-04T00:00:00"/>
    <d v="2026-07-24T00:00:00"/>
    <s v=""/>
    <s v=""/>
    <s v="6000"/>
  </r>
  <r>
    <s v="27E"/>
    <s v="E2"/>
    <s v=""/>
    <s v="Korea"/>
    <x v="3"/>
    <s v="04"/>
    <s v="PUNTOTRES BAGS &amp; BELTS, s.l."/>
    <x v="13"/>
    <x v="44"/>
    <x v="9"/>
    <x v="2"/>
    <n v="38.5"/>
    <n v="35"/>
    <x v="5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38.5"/>
    <n v="1347.5"/>
    <s v="EUR"/>
    <d v="2026-11-30T00:00:00"/>
    <d v="2026-12-04T00:00:00"/>
    <d v="2026-07-24T00:00:00"/>
    <s v=""/>
    <s v=""/>
    <s v="6000"/>
  </r>
  <r>
    <s v="27E"/>
    <s v="E2"/>
    <s v=""/>
    <s v="Korea"/>
    <x v="3"/>
    <s v="04"/>
    <s v="PUNTOTRES BAGS &amp; BELTS, s.l."/>
    <x v="26"/>
    <x v="45"/>
    <x v="4"/>
    <x v="0"/>
    <n v="30"/>
    <n v="50"/>
    <x v="1"/>
    <d v="2026-11-30T00:00:00"/>
    <s v="SMOVSES"/>
    <s v=""/>
    <s v="1"/>
    <d v="2026-07-24T00:00:00"/>
    <s v="B"/>
    <s v=""/>
    <s v="YNBP"/>
    <s v="FR01"/>
    <s v="A01"/>
    <s v="F000"/>
    <s v="F000"/>
    <s v="ES02AB005"/>
    <s v="10"/>
    <s v="TU"/>
    <s v="1"/>
    <s v="PC"/>
    <n v="30"/>
    <n v="1500"/>
    <s v="EUR"/>
    <d v="2026-11-30T00:00:00"/>
    <d v="2026-12-04T00:00:00"/>
    <d v="2026-07-24T00:00:00"/>
    <s v=""/>
    <s v=""/>
    <s v="6000"/>
  </r>
  <r>
    <s v="27E"/>
    <s v="E2"/>
    <s v=""/>
    <s v="Retail"/>
    <x v="4"/>
    <s v=""/>
    <s v="PUNTOTRES BAGS &amp; BELTS, s.l."/>
    <x v="0"/>
    <x v="46"/>
    <x v="0"/>
    <x v="0"/>
    <n v="1"/>
    <n v="39"/>
    <x v="0"/>
    <d v="2026-11-30T00:00:00"/>
    <s v="SMOVSES"/>
    <s v=""/>
    <s v="1"/>
    <d v="2026-07-23T00:00:00"/>
    <s v="B"/>
    <s v=""/>
    <s v="YNBP"/>
    <s v="FR01"/>
    <s v="A01"/>
    <s v="F010"/>
    <s v="0001"/>
    <s v="ES02AB005"/>
    <s v="10"/>
    <s v="TU"/>
    <s v="1"/>
    <s v="PC"/>
    <n v="1"/>
    <n v="39"/>
    <s v="EUR"/>
    <d v="2026-11-30T00:00:00"/>
    <d v="2026-12-07T00:00:00"/>
    <d v="2026-07-23T00:00:00"/>
    <s v=""/>
    <s v=""/>
    <s v="6000"/>
  </r>
  <r>
    <s v="27E"/>
    <s v="E2"/>
    <s v=""/>
    <s v="Retail"/>
    <x v="4"/>
    <s v=""/>
    <s v="PUNTOTRES BAGS &amp; BELTS, s.l."/>
    <x v="19"/>
    <x v="47"/>
    <x v="12"/>
    <x v="6"/>
    <n v="23.5"/>
    <n v="38"/>
    <x v="16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90"/>
    <s v="3"/>
    <s v="PC"/>
    <n v="23.5"/>
    <n v="893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18"/>
    <x v="47"/>
    <x v="12"/>
    <x v="6"/>
    <n v="23.5"/>
    <n v="28"/>
    <x v="9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80"/>
    <s v="2"/>
    <s v="PC"/>
    <n v="23.5"/>
    <n v="658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18"/>
    <x v="47"/>
    <x v="12"/>
    <x v="6"/>
    <n v="23.5"/>
    <n v="3"/>
    <x v="11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75"/>
    <s v="1"/>
    <s v="PC"/>
    <n v="23.5"/>
    <n v="70.5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20"/>
    <x v="48"/>
    <x v="13"/>
    <x v="7"/>
    <n v="32.1"/>
    <n v="7"/>
    <x v="13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95"/>
    <s v="3"/>
    <s v="PC"/>
    <n v="32.1"/>
    <n v="224.7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29"/>
    <x v="48"/>
    <x v="13"/>
    <x v="7"/>
    <n v="32.1"/>
    <n v="3"/>
    <x v="17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95"/>
    <s v="5"/>
    <s v="PC"/>
    <n v="32.1"/>
    <n v="96.3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20"/>
    <x v="48"/>
    <x v="13"/>
    <x v="7"/>
    <n v="32.1"/>
    <n v="42"/>
    <x v="18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90"/>
    <s v="4"/>
    <s v="PC"/>
    <n v="32.1"/>
    <n v="1348.2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29"/>
    <x v="48"/>
    <x v="13"/>
    <x v="7"/>
    <n v="32.1"/>
    <n v="27"/>
    <x v="19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90"/>
    <s v="2"/>
    <s v="PC"/>
    <n v="32.1"/>
    <n v="866.7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20"/>
    <x v="48"/>
    <x v="13"/>
    <x v="7"/>
    <n v="32.1"/>
    <n v="8"/>
    <x v="20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85"/>
    <s v="7"/>
    <s v="PC"/>
    <n v="32.1"/>
    <n v="256.8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29"/>
    <x v="48"/>
    <x v="13"/>
    <x v="7"/>
    <n v="32.1"/>
    <n v="7"/>
    <x v="21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85"/>
    <s v="1"/>
    <s v="PC"/>
    <n v="32.1"/>
    <n v="224.7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20"/>
    <x v="48"/>
    <x v="13"/>
    <x v="7"/>
    <n v="32.1"/>
    <n v="6"/>
    <x v="14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100"/>
    <s v="6"/>
    <s v="PC"/>
    <n v="32.1"/>
    <n v="192.6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15"/>
    <x v="49"/>
    <x v="6"/>
    <x v="3"/>
    <n v="67.8"/>
    <n v="121"/>
    <x v="1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67.8"/>
    <n v="8203.7999999999993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27"/>
    <x v="50"/>
    <x v="18"/>
    <x v="9"/>
    <n v="38.75"/>
    <n v="1"/>
    <x v="6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38.75"/>
    <n v="38.75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30"/>
    <x v="51"/>
    <x v="20"/>
    <x v="7"/>
    <n v="27.9"/>
    <n v="10"/>
    <x v="18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90"/>
    <s v="1"/>
    <s v="PC"/>
    <n v="27.9"/>
    <n v="279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24"/>
    <x v="52"/>
    <x v="16"/>
    <x v="10"/>
    <n v="21.35"/>
    <n v="1"/>
    <x v="22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L"/>
    <s v="1"/>
    <s v="PC"/>
    <n v="21.35"/>
    <n v="21.35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16"/>
    <x v="53"/>
    <x v="7"/>
    <x v="4"/>
    <n v="86"/>
    <n v="2"/>
    <x v="1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2"/>
    <s v="PC"/>
    <n v="86"/>
    <n v="172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10"/>
    <x v="53"/>
    <x v="7"/>
    <x v="4"/>
    <n v="86"/>
    <n v="30"/>
    <x v="6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86"/>
    <n v="2580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28"/>
    <x v="54"/>
    <x v="19"/>
    <x v="3"/>
    <n v="85"/>
    <n v="1"/>
    <x v="0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85"/>
    <n v="85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28"/>
    <x v="55"/>
    <x v="19"/>
    <x v="3"/>
    <n v="85"/>
    <n v="18"/>
    <x v="0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85"/>
    <n v="1530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2"/>
    <x v="56"/>
    <x v="2"/>
    <x v="1"/>
    <n v="89.68"/>
    <n v="2"/>
    <x v="2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89.68"/>
    <n v="179.36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11"/>
    <x v="56"/>
    <x v="2"/>
    <x v="1"/>
    <n v="89.68"/>
    <n v="1"/>
    <x v="0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2"/>
    <s v="PC"/>
    <n v="89.68"/>
    <n v="89.68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11"/>
    <x v="57"/>
    <x v="2"/>
    <x v="1"/>
    <n v="89.68"/>
    <n v="39"/>
    <x v="0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89.68"/>
    <n v="3497.52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3"/>
    <x v="58"/>
    <x v="3"/>
    <x v="2"/>
    <n v="45.5"/>
    <n v="1"/>
    <x v="2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45.5"/>
    <n v="45.5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4"/>
    <x v="59"/>
    <x v="3"/>
    <x v="2"/>
    <n v="45.5"/>
    <n v="36"/>
    <x v="0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45.5"/>
    <n v="1638"/>
    <s v="EUR"/>
    <d v="2026-11-30T00:00:00"/>
    <d v="2026-12-07T00:00:00"/>
    <d v="2026-07-24T00:00:00"/>
    <s v=""/>
    <s v=""/>
    <s v="6000"/>
  </r>
  <r>
    <s v="27E"/>
    <s v=""/>
    <s v=""/>
    <s v="Retail"/>
    <x v="4"/>
    <s v=""/>
    <s v="PUNTOTRES BAGS &amp; BELTS, s.l."/>
    <x v="20"/>
    <x v="59"/>
    <x v="13"/>
    <x v="7"/>
    <n v="32.1"/>
    <n v="4"/>
    <x v="13"/>
    <d v="2026-11-24T00:00:00"/>
    <s v="SMOVSES"/>
    <s v=""/>
    <s v="1"/>
    <d v="2026-07-24T00:00:00"/>
    <s v="B"/>
    <s v=""/>
    <s v="YNBP"/>
    <s v="FR01"/>
    <s v="A01"/>
    <s v="F010"/>
    <s v="0001"/>
    <s v="ES02AB005"/>
    <s v="20"/>
    <s v="95"/>
    <s v="3"/>
    <s v="PC"/>
    <n v="32.1"/>
    <n v="128.4"/>
    <s v="EUR"/>
    <d v="2026-11-24T00:00:00"/>
    <d v="2026-12-01T00:00:00"/>
    <d v="2026-07-24T00:00:00"/>
    <s v=""/>
    <s v=""/>
    <s v="6000"/>
  </r>
  <r>
    <s v="27E"/>
    <s v=""/>
    <s v=""/>
    <s v="Retail"/>
    <x v="4"/>
    <s v=""/>
    <s v="PUNTOTRES BAGS &amp; BELTS, s.l."/>
    <x v="20"/>
    <x v="59"/>
    <x v="13"/>
    <x v="7"/>
    <n v="32.1"/>
    <n v="4"/>
    <x v="18"/>
    <d v="2026-11-24T00:00:00"/>
    <s v="SMOVSES"/>
    <s v=""/>
    <s v="1"/>
    <d v="2026-07-24T00:00:00"/>
    <s v="B"/>
    <s v=""/>
    <s v="YNBP"/>
    <s v="FR01"/>
    <s v="A01"/>
    <s v="F010"/>
    <s v="0001"/>
    <s v="ES02AB005"/>
    <s v="20"/>
    <s v="90"/>
    <s v="2"/>
    <s v="PC"/>
    <n v="32.1"/>
    <n v="128.4"/>
    <s v="EUR"/>
    <d v="2026-11-24T00:00:00"/>
    <d v="2026-12-01T00:00:00"/>
    <d v="2026-07-24T00:00:00"/>
    <s v=""/>
    <s v=""/>
    <s v="6000"/>
  </r>
  <r>
    <s v="27E"/>
    <s v=""/>
    <s v=""/>
    <s v="Retail"/>
    <x v="4"/>
    <s v=""/>
    <s v="PUNTOTRES BAGS &amp; BELTS, s.l."/>
    <x v="20"/>
    <x v="59"/>
    <x v="13"/>
    <x v="7"/>
    <n v="32.1"/>
    <n v="3"/>
    <x v="20"/>
    <d v="2026-11-24T00:00:00"/>
    <s v="SMOVSES"/>
    <s v=""/>
    <s v="1"/>
    <d v="2026-07-24T00:00:00"/>
    <s v="B"/>
    <s v=""/>
    <s v="YNBP"/>
    <s v="FR01"/>
    <s v="A01"/>
    <s v="F010"/>
    <s v="0001"/>
    <s v="ES02AB005"/>
    <s v="20"/>
    <s v="85"/>
    <s v="1"/>
    <s v="PC"/>
    <n v="32.1"/>
    <n v="96.3"/>
    <s v="EUR"/>
    <d v="2026-11-24T00:00:00"/>
    <d v="2026-12-01T00:00:00"/>
    <d v="2026-07-24T00:00:00"/>
    <s v=""/>
    <s v=""/>
    <s v="6000"/>
  </r>
  <r>
    <s v="27E"/>
    <s v=""/>
    <s v=""/>
    <s v="Retail"/>
    <x v="4"/>
    <s v=""/>
    <s v="PUNTOTRES BAGS &amp; BELTS, s.l."/>
    <x v="20"/>
    <x v="59"/>
    <x v="13"/>
    <x v="7"/>
    <n v="32.1"/>
    <n v="3"/>
    <x v="14"/>
    <d v="2026-11-24T00:00:00"/>
    <s v="SMOVSES"/>
    <s v=""/>
    <s v="1"/>
    <d v="2026-07-24T00:00:00"/>
    <s v="B"/>
    <s v=""/>
    <s v="YNBP"/>
    <s v="FR01"/>
    <s v="A01"/>
    <s v="F010"/>
    <s v="0001"/>
    <s v="ES02AB005"/>
    <s v="20"/>
    <s v="100"/>
    <s v="4"/>
    <s v="PC"/>
    <n v="32.1"/>
    <n v="96.3"/>
    <s v="EUR"/>
    <d v="2026-11-24T00:00:00"/>
    <d v="2026-12-01T00:00:00"/>
    <d v="2026-07-24T00:00:00"/>
    <s v=""/>
    <s v=""/>
    <s v="6000"/>
  </r>
  <r>
    <s v="27E"/>
    <s v=""/>
    <s v=""/>
    <s v="Retail"/>
    <x v="4"/>
    <s v=""/>
    <s v="PUNTOTRES BAGS &amp; BELTS, s.l."/>
    <x v="30"/>
    <x v="59"/>
    <x v="20"/>
    <x v="7"/>
    <n v="27.9"/>
    <n v="8"/>
    <x v="13"/>
    <d v="2026-11-24T00:00:00"/>
    <s v="SMOVSES"/>
    <s v=""/>
    <s v="1"/>
    <d v="2026-07-24T00:00:00"/>
    <s v="B"/>
    <s v=""/>
    <s v="YNBP"/>
    <s v="FR01"/>
    <s v="A01"/>
    <s v="F010"/>
    <s v="0001"/>
    <s v="ES02AB005"/>
    <s v="30"/>
    <s v="95"/>
    <s v="3"/>
    <s v="PC"/>
    <n v="27.9"/>
    <n v="223.2"/>
    <s v="EUR"/>
    <d v="2026-11-24T00:00:00"/>
    <d v="2026-12-01T00:00:00"/>
    <d v="2026-07-24T00:00:00"/>
    <s v=""/>
    <s v=""/>
    <s v="6000"/>
  </r>
  <r>
    <s v="27E"/>
    <s v=""/>
    <s v=""/>
    <s v="Retail"/>
    <x v="4"/>
    <s v=""/>
    <s v="PUNTOTRES BAGS &amp; BELTS, s.l."/>
    <x v="30"/>
    <x v="59"/>
    <x v="20"/>
    <x v="7"/>
    <n v="27.9"/>
    <n v="8"/>
    <x v="18"/>
    <d v="2026-11-24T00:00:00"/>
    <s v="SMOVSES"/>
    <s v=""/>
    <s v="1"/>
    <d v="2026-07-24T00:00:00"/>
    <s v="B"/>
    <s v=""/>
    <s v="YNBP"/>
    <s v="FR01"/>
    <s v="A01"/>
    <s v="F010"/>
    <s v="0001"/>
    <s v="ES02AB005"/>
    <s v="30"/>
    <s v="90"/>
    <s v="2"/>
    <s v="PC"/>
    <n v="27.9"/>
    <n v="223.2"/>
    <s v="EUR"/>
    <d v="2026-11-24T00:00:00"/>
    <d v="2026-12-01T00:00:00"/>
    <d v="2026-07-24T00:00:00"/>
    <s v=""/>
    <s v=""/>
    <s v="6000"/>
  </r>
  <r>
    <s v="27E"/>
    <s v=""/>
    <s v=""/>
    <s v="Retail"/>
    <x v="4"/>
    <s v=""/>
    <s v="PUNTOTRES BAGS &amp; BELTS, s.l."/>
    <x v="30"/>
    <x v="59"/>
    <x v="20"/>
    <x v="7"/>
    <n v="27.9"/>
    <n v="8"/>
    <x v="20"/>
    <d v="2026-11-24T00:00:00"/>
    <s v="SMOVSES"/>
    <s v=""/>
    <s v="1"/>
    <d v="2026-07-24T00:00:00"/>
    <s v="B"/>
    <s v=""/>
    <s v="YNBP"/>
    <s v="FR01"/>
    <s v="A01"/>
    <s v="F010"/>
    <s v="0001"/>
    <s v="ES02AB005"/>
    <s v="30"/>
    <s v="85"/>
    <s v="1"/>
    <s v="PC"/>
    <n v="27.9"/>
    <n v="223.2"/>
    <s v="EUR"/>
    <d v="2026-11-24T00:00:00"/>
    <d v="2026-12-01T00:00:00"/>
    <d v="2026-07-24T00:00:00"/>
    <s v=""/>
    <s v=""/>
    <s v="6000"/>
  </r>
  <r>
    <s v="27E"/>
    <s v=""/>
    <s v=""/>
    <s v="Retail"/>
    <x v="4"/>
    <s v=""/>
    <s v="PUNTOTRES BAGS &amp; BELTS, s.l."/>
    <x v="30"/>
    <x v="59"/>
    <x v="20"/>
    <x v="7"/>
    <n v="27.9"/>
    <n v="8"/>
    <x v="14"/>
    <d v="2026-11-24T00:00:00"/>
    <s v="SMOVSES"/>
    <s v=""/>
    <s v="1"/>
    <d v="2026-07-24T00:00:00"/>
    <s v="B"/>
    <s v=""/>
    <s v="YNBP"/>
    <s v="FR01"/>
    <s v="A01"/>
    <s v="F010"/>
    <s v="0001"/>
    <s v="ES02AB005"/>
    <s v="30"/>
    <s v="100"/>
    <s v="4"/>
    <s v="PC"/>
    <n v="27.9"/>
    <n v="223.2"/>
    <s v="EUR"/>
    <d v="2026-11-24T00:00:00"/>
    <d v="2026-12-01T00:00:00"/>
    <d v="2026-07-24T00:00:00"/>
    <s v=""/>
    <s v=""/>
    <s v="6000"/>
  </r>
  <r>
    <s v="27E"/>
    <s v=""/>
    <s v=""/>
    <s v="Retail"/>
    <x v="4"/>
    <s v=""/>
    <s v="PUNTOTRES BAGS &amp; BELTS, s.l."/>
    <x v="25"/>
    <x v="59"/>
    <x v="17"/>
    <x v="9"/>
    <n v="1"/>
    <n v="1"/>
    <x v="3"/>
    <d v="2026-11-24T00:00:00"/>
    <s v="SMOVSES"/>
    <s v=""/>
    <s v="1"/>
    <d v="2026-07-24T00:00:00"/>
    <s v="B"/>
    <s v=""/>
    <s v="YNBP"/>
    <s v="FR01"/>
    <s v="A01"/>
    <s v="F010"/>
    <s v="0001"/>
    <s v="ES02AB005"/>
    <s v="40"/>
    <s v="TU"/>
    <s v="1"/>
    <s v="PC"/>
    <n v="1"/>
    <n v="1"/>
    <s v="EUR"/>
    <d v="2026-11-24T00:00:00"/>
    <d v="2026-12-01T00:00:00"/>
    <d v="2026-07-24T00:00:00"/>
    <s v=""/>
    <s v=""/>
    <s v="6000"/>
  </r>
  <r>
    <s v="27E"/>
    <s v=""/>
    <s v=""/>
    <s v="Retail"/>
    <x v="4"/>
    <s v=""/>
    <s v="PUNTOTRES BAGS &amp; BELTS, s.l."/>
    <x v="31"/>
    <x v="59"/>
    <x v="18"/>
    <x v="9"/>
    <n v="38.75"/>
    <n v="5"/>
    <x v="1"/>
    <d v="2026-11-24T00:00:00"/>
    <s v="SMOVSES"/>
    <s v=""/>
    <s v="1"/>
    <d v="2026-07-24T00:00:00"/>
    <s v="B"/>
    <s v=""/>
    <s v="YNBP"/>
    <s v="FR01"/>
    <s v="A01"/>
    <s v="F010"/>
    <s v="0001"/>
    <s v="ES02AB005"/>
    <s v="50"/>
    <s v="TU"/>
    <s v="1"/>
    <s v="PC"/>
    <n v="38.75"/>
    <n v="193.75"/>
    <s v="EUR"/>
    <d v="2026-11-24T00:00:00"/>
    <d v="2026-12-01T00:00:00"/>
    <d v="2026-07-24T00:00:00"/>
    <s v=""/>
    <s v=""/>
    <s v="6000"/>
  </r>
  <r>
    <s v="27E"/>
    <s v=""/>
    <s v=""/>
    <s v="Retail"/>
    <x v="4"/>
    <s v=""/>
    <s v="PUNTOTRES BAGS &amp; BELTS, s.l."/>
    <x v="32"/>
    <x v="59"/>
    <x v="16"/>
    <x v="10"/>
    <n v="21.35"/>
    <n v="6"/>
    <x v="23"/>
    <d v="2026-11-24T00:00:00"/>
    <s v="SMOVSES"/>
    <s v=""/>
    <s v="1"/>
    <d v="2026-07-24T00:00:00"/>
    <s v="B"/>
    <s v=""/>
    <s v="YNBP"/>
    <s v="FR01"/>
    <s v="A01"/>
    <s v="F010"/>
    <s v="0001"/>
    <s v="ES02AB005"/>
    <s v="60"/>
    <s v="S"/>
    <s v="1"/>
    <s v="PC"/>
    <n v="21.35"/>
    <n v="128.1"/>
    <s v="EUR"/>
    <d v="2026-11-24T00:00:00"/>
    <d v="2026-12-01T00:00:00"/>
    <d v="2026-07-24T00:00:00"/>
    <s v=""/>
    <s v=""/>
    <s v="6000"/>
  </r>
  <r>
    <s v="27E"/>
    <s v=""/>
    <s v=""/>
    <s v="Retail"/>
    <x v="4"/>
    <s v=""/>
    <s v="PUNTOTRES BAGS &amp; BELTS, s.l."/>
    <x v="32"/>
    <x v="59"/>
    <x v="16"/>
    <x v="10"/>
    <n v="21.35"/>
    <n v="7"/>
    <x v="24"/>
    <d v="2026-11-24T00:00:00"/>
    <s v="SMOVSES"/>
    <s v=""/>
    <s v="1"/>
    <d v="2026-07-24T00:00:00"/>
    <s v="B"/>
    <s v=""/>
    <s v="YNBP"/>
    <s v="FR01"/>
    <s v="A01"/>
    <s v="F010"/>
    <s v="0001"/>
    <s v="ES02AB005"/>
    <s v="60"/>
    <s v="M"/>
    <s v="2"/>
    <s v="PC"/>
    <n v="21.35"/>
    <n v="149.44999999999999"/>
    <s v="EUR"/>
    <d v="2026-11-24T00:00:00"/>
    <d v="2026-12-01T00:00:00"/>
    <d v="2026-07-24T00:00:00"/>
    <s v=""/>
    <s v=""/>
    <s v="6000"/>
  </r>
  <r>
    <s v="27E"/>
    <s v=""/>
    <s v=""/>
    <s v="Retail"/>
    <x v="4"/>
    <s v=""/>
    <s v="PUNTOTRES BAGS &amp; BELTS, s.l."/>
    <x v="32"/>
    <x v="59"/>
    <x v="16"/>
    <x v="10"/>
    <n v="21.35"/>
    <n v="6"/>
    <x v="25"/>
    <d v="2026-11-24T00:00:00"/>
    <s v="SMOVSES"/>
    <s v=""/>
    <s v="1"/>
    <d v="2026-07-24T00:00:00"/>
    <s v="B"/>
    <s v=""/>
    <s v="YNBP"/>
    <s v="FR01"/>
    <s v="A01"/>
    <s v="F010"/>
    <s v="0001"/>
    <s v="ES02AB005"/>
    <s v="60"/>
    <s v="L"/>
    <s v="3"/>
    <s v="PC"/>
    <n v="21.35"/>
    <n v="128.1"/>
    <s v="EUR"/>
    <d v="2026-11-24T00:00:00"/>
    <d v="2026-12-01T00:00:00"/>
    <d v="2026-07-24T00:00:00"/>
    <s v=""/>
    <s v=""/>
    <s v="6000"/>
  </r>
  <r>
    <s v="27E"/>
    <s v="E2"/>
    <s v=""/>
    <s v="Retail"/>
    <x v="4"/>
    <s v=""/>
    <s v="PUNTOTRES BAGS &amp; BELTS, s.l."/>
    <x v="12"/>
    <x v="60"/>
    <x v="8"/>
    <x v="5"/>
    <n v="1"/>
    <n v="24"/>
    <x v="7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1"/>
    <n v="24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8"/>
    <x v="61"/>
    <x v="6"/>
    <x v="3"/>
    <n v="67.8"/>
    <n v="66"/>
    <x v="5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67.8"/>
    <n v="4474.8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9"/>
    <x v="62"/>
    <x v="1"/>
    <x v="1"/>
    <n v="66.5"/>
    <n v="1"/>
    <x v="5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66.5"/>
    <n v="66.5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13"/>
    <x v="63"/>
    <x v="9"/>
    <x v="2"/>
    <n v="38.5"/>
    <n v="3"/>
    <x v="5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38.5"/>
    <n v="115.5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13"/>
    <x v="64"/>
    <x v="9"/>
    <x v="2"/>
    <n v="38.5"/>
    <n v="66"/>
    <x v="5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38.5"/>
    <n v="2541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32"/>
    <x v="65"/>
    <x v="16"/>
    <x v="10"/>
    <n v="21.35"/>
    <n v="3"/>
    <x v="24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M"/>
    <s v="1"/>
    <s v="PC"/>
    <n v="21.35"/>
    <n v="64.05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5"/>
    <x v="66"/>
    <x v="4"/>
    <x v="0"/>
    <n v="30"/>
    <n v="66"/>
    <x v="3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30"/>
    <n v="1980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14"/>
    <x v="67"/>
    <x v="10"/>
    <x v="3"/>
    <n v="81.5"/>
    <n v="73"/>
    <x v="3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81.5"/>
    <n v="5949.5"/>
    <s v="EUR"/>
    <d v="2026-11-30T00:00:00"/>
    <d v="2026-12-07T00:00:00"/>
    <d v="2026-07-24T00:00:00"/>
    <s v=""/>
    <s v=""/>
    <s v="6000"/>
  </r>
  <r>
    <s v="27E"/>
    <s v="E2"/>
    <s v=""/>
    <s v="Retail"/>
    <x v="4"/>
    <s v=""/>
    <s v="PUNTOTRES BAGS &amp; BELTS, s.l."/>
    <x v="6"/>
    <x v="68"/>
    <x v="5"/>
    <x v="2"/>
    <n v="46"/>
    <n v="75"/>
    <x v="3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46"/>
    <n v="3450"/>
    <s v="EUR"/>
    <d v="2026-11-30T00:00:00"/>
    <d v="2026-12-07T00:00:00"/>
    <d v="2026-07-24T00:00:00"/>
    <s v=""/>
    <s v=""/>
    <s v="6000"/>
  </r>
  <r>
    <s v="27E"/>
    <s v="E2"/>
    <s v=""/>
    <s v="Retail USA"/>
    <x v="0"/>
    <s v="02"/>
    <s v="PUNTOTRES BAGS &amp; BELTS, s.l."/>
    <x v="19"/>
    <x v="69"/>
    <x v="12"/>
    <x v="6"/>
    <n v="23.5"/>
    <n v="5"/>
    <x v="16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90"/>
    <s v="2"/>
    <s v="PC"/>
    <n v="23.5"/>
    <n v="117.5"/>
    <s v="EUR"/>
    <d v="2026-11-30T00:00:00"/>
    <d v="2026-12-03T00:00:00"/>
    <d v="2026-07-24T00:00:00"/>
    <s v=""/>
    <s v=""/>
    <s v="6000"/>
  </r>
  <r>
    <s v="27E"/>
    <s v="E2"/>
    <s v=""/>
    <s v="Retail USA"/>
    <x v="0"/>
    <s v="02"/>
    <s v="PUNTOTRES BAGS &amp; BELTS, s.l."/>
    <x v="19"/>
    <x v="69"/>
    <x v="12"/>
    <x v="6"/>
    <n v="23.5"/>
    <n v="10"/>
    <x v="26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85"/>
    <s v="1"/>
    <s v="PC"/>
    <n v="23.5"/>
    <n v="235"/>
    <s v="EUR"/>
    <d v="2026-11-30T00:00:00"/>
    <d v="2026-12-03T00:00:00"/>
    <d v="2026-07-24T00:00:00"/>
    <s v=""/>
    <s v=""/>
    <s v="6000"/>
  </r>
  <r>
    <s v="27E"/>
    <s v="E2"/>
    <s v=""/>
    <s v="Wholesale"/>
    <x v="0"/>
    <s v=""/>
    <s v="PUNTOTRES BAGS &amp; BELTS, s.l."/>
    <x v="10"/>
    <x v="70"/>
    <x v="7"/>
    <x v="4"/>
    <n v="86"/>
    <n v="3"/>
    <x v="6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86"/>
    <n v="258"/>
    <s v="EUR"/>
    <d v="2026-11-30T00:00:00"/>
    <d v="2026-12-07T00:00:00"/>
    <d v="2026-07-24T00:00:00"/>
    <s v=""/>
    <s v=""/>
    <s v="6000"/>
  </r>
  <r>
    <s v="27E"/>
    <s v=""/>
    <s v=""/>
    <s v="Wholesale"/>
    <x v="0"/>
    <s v=""/>
    <s v="PUNTOTRES BAGS &amp; BELTS, s.l."/>
    <x v="15"/>
    <x v="70"/>
    <x v="6"/>
    <x v="3"/>
    <n v="67.8"/>
    <n v="110"/>
    <x v="1"/>
    <d v="2026-11-30T00:00:00"/>
    <s v="SMOVSES"/>
    <s v=""/>
    <s v="1"/>
    <d v="2026-07-24T00:00:00"/>
    <s v="B"/>
    <s v=""/>
    <s v="YNBP"/>
    <s v="FR01"/>
    <s v="A01"/>
    <s v="F010"/>
    <s v="0001"/>
    <s v="ES02AB005"/>
    <s v="20"/>
    <s v="TU"/>
    <s v="1"/>
    <s v="PC"/>
    <n v="67.8"/>
    <n v="7458"/>
    <s v="EUR"/>
    <d v="2026-11-30T00:00:00"/>
    <d v="2026-12-07T00:00:00"/>
    <d v="2026-07-24T00:00:00"/>
    <s v=""/>
    <s v=""/>
    <s v="6000"/>
  </r>
  <r>
    <s v="27E"/>
    <s v="E2"/>
    <s v=""/>
    <s v="Wholesale"/>
    <x v="0"/>
    <s v=""/>
    <s v="PUNTOTRES BAGS &amp; BELTS, s.l."/>
    <x v="33"/>
    <x v="71"/>
    <x v="19"/>
    <x v="3"/>
    <n v="85"/>
    <n v="2"/>
    <x v="2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2"/>
    <s v="PC"/>
    <n v="85"/>
    <n v="170"/>
    <s v="EUR"/>
    <d v="2026-11-30T00:00:00"/>
    <d v="2026-12-07T00:00:00"/>
    <d v="2026-07-24T00:00:00"/>
    <s v=""/>
    <s v=""/>
    <s v="6000"/>
  </r>
  <r>
    <s v="27E"/>
    <s v="E2"/>
    <s v=""/>
    <s v="Wholesale"/>
    <x v="0"/>
    <s v=""/>
    <s v="PUNTOTRES BAGS &amp; BELTS, s.l."/>
    <x v="28"/>
    <x v="71"/>
    <x v="19"/>
    <x v="3"/>
    <n v="85"/>
    <n v="2"/>
    <x v="0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85"/>
    <n v="170"/>
    <s v="EUR"/>
    <d v="2026-11-30T00:00:00"/>
    <d v="2026-12-07T00:00:00"/>
    <d v="2026-07-24T00:00:00"/>
    <s v=""/>
    <s v=""/>
    <s v="6000"/>
  </r>
  <r>
    <s v="27E"/>
    <s v="E2"/>
    <s v=""/>
    <s v="Wholesale"/>
    <x v="0"/>
    <s v=""/>
    <s v="PUNTOTRES BAGS &amp; BELTS, s.l."/>
    <x v="3"/>
    <x v="72"/>
    <x v="3"/>
    <x v="2"/>
    <n v="45.5"/>
    <n v="3"/>
    <x v="2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45.5"/>
    <n v="136.5"/>
    <s v="EUR"/>
    <d v="2026-11-30T00:00:00"/>
    <d v="2026-12-07T00:00:00"/>
    <d v="2026-07-24T00:00:00"/>
    <s v=""/>
    <s v=""/>
    <s v="6000"/>
  </r>
  <r>
    <s v="27E"/>
    <s v="E2"/>
    <s v=""/>
    <s v="Wholesale"/>
    <x v="0"/>
    <s v=""/>
    <s v="PUNTOTRES BAGS &amp; BELTS, s.l."/>
    <x v="4"/>
    <x v="72"/>
    <x v="3"/>
    <x v="2"/>
    <n v="45.5"/>
    <n v="3"/>
    <x v="0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2"/>
    <s v="PC"/>
    <n v="45.5"/>
    <n v="136.5"/>
    <s v="EUR"/>
    <d v="2026-11-30T00:00:00"/>
    <d v="2026-12-07T00:00:00"/>
    <d v="2026-07-24T00:00:00"/>
    <s v=""/>
    <s v=""/>
    <s v="6000"/>
  </r>
  <r>
    <s v="27E"/>
    <s v="E2"/>
    <s v=""/>
    <s v="Wholesale"/>
    <x v="0"/>
    <s v=""/>
    <s v="PUNTOTRES BAGS &amp; BELTS, s.l."/>
    <x v="8"/>
    <x v="73"/>
    <x v="6"/>
    <x v="3"/>
    <n v="67.8"/>
    <n v="2"/>
    <x v="5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67.8"/>
    <n v="135.6"/>
    <s v="EUR"/>
    <d v="2026-11-30T00:00:00"/>
    <d v="2026-12-07T00:00:00"/>
    <d v="2026-07-24T00:00:00"/>
    <s v=""/>
    <s v=""/>
    <s v="6000"/>
  </r>
  <r>
    <s v="27E"/>
    <s v="E2"/>
    <s v=""/>
    <s v="Wholesale"/>
    <x v="0"/>
    <s v=""/>
    <s v="PUNTOTRES BAGS &amp; BELTS, s.l."/>
    <x v="13"/>
    <x v="74"/>
    <x v="9"/>
    <x v="2"/>
    <n v="38.5"/>
    <n v="5"/>
    <x v="5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38.5"/>
    <n v="192.5"/>
    <s v="EUR"/>
    <d v="2026-11-30T00:00:00"/>
    <d v="2026-12-07T00:00:00"/>
    <d v="2026-07-24T00:00:00"/>
    <s v=""/>
    <s v=""/>
    <s v="6000"/>
  </r>
  <r>
    <s v="27E"/>
    <s v="E2"/>
    <s v=""/>
    <s v="Wholesale"/>
    <x v="0"/>
    <s v=""/>
    <s v="PUNTOTRES BAGS &amp; BELTS, s.l."/>
    <x v="6"/>
    <x v="75"/>
    <x v="5"/>
    <x v="2"/>
    <n v="46"/>
    <n v="2"/>
    <x v="3"/>
    <d v="2026-11-30T00:00:00"/>
    <s v="SMOVSES"/>
    <s v=""/>
    <s v="1"/>
    <d v="2026-07-24T00:00:00"/>
    <s v="B"/>
    <s v=""/>
    <s v="YNBP"/>
    <s v="FR01"/>
    <s v="A01"/>
    <s v="F010"/>
    <s v="0001"/>
    <s v="ES02AB005"/>
    <s v="10"/>
    <s v="TU"/>
    <s v="1"/>
    <s v="PC"/>
    <n v="46"/>
    <n v="92"/>
    <s v="EUR"/>
    <d v="2026-11-30T00:00:00"/>
    <d v="2026-12-07T00:00:00"/>
    <d v="2026-07-24T00:00:00"/>
    <s v=""/>
    <s v=""/>
    <s v="6000"/>
  </r>
  <r>
    <s v="27E"/>
    <s v="E2"/>
    <s v=""/>
    <s v="Wholesale"/>
    <x v="0"/>
    <s v="07"/>
    <s v="PUNTOTRES BAGS &amp; BELTS, s.l."/>
    <x v="0"/>
    <x v="76"/>
    <x v="0"/>
    <x v="0"/>
    <n v="1"/>
    <n v="47"/>
    <x v="0"/>
    <d v="2026-11-30T00:00:00"/>
    <s v="SMOVSES"/>
    <s v=""/>
    <s v="1"/>
    <d v="2026-07-23T00:00:00"/>
    <s v="B"/>
    <s v=""/>
    <s v="YNBP"/>
    <s v="FR01"/>
    <s v="A01"/>
    <s v="F003"/>
    <s v="F003"/>
    <s v="ES02AB005"/>
    <s v="10"/>
    <s v="TU"/>
    <s v="1"/>
    <s v="PC"/>
    <n v="1"/>
    <n v="47"/>
    <s v="EUR"/>
    <d v="2026-11-30T00:00:00"/>
    <d v="2026-12-03T00:00:00"/>
    <d v="2026-07-23T00:00:00"/>
    <s v=""/>
    <s v=""/>
    <s v="6000"/>
  </r>
  <r>
    <s v="27E"/>
    <s v="E2"/>
    <s v=""/>
    <s v="Wholesale"/>
    <x v="0"/>
    <s v="07"/>
    <s v="PUNTOTRES BAGS &amp; BELTS, s.l."/>
    <x v="19"/>
    <x v="77"/>
    <x v="12"/>
    <x v="6"/>
    <n v="23.5"/>
    <n v="3"/>
    <x v="16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90"/>
    <s v="1"/>
    <s v="PC"/>
    <n v="23.5"/>
    <n v="70.5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18"/>
    <x v="77"/>
    <x v="12"/>
    <x v="6"/>
    <n v="23.5"/>
    <n v="3"/>
    <x v="20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85"/>
    <s v="2"/>
    <s v="PC"/>
    <n v="23.5"/>
    <n v="70.5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19"/>
    <x v="77"/>
    <x v="12"/>
    <x v="6"/>
    <n v="23.5"/>
    <n v="3"/>
    <x v="26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85"/>
    <s v="4"/>
    <s v="PC"/>
    <n v="23.5"/>
    <n v="70.5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18"/>
    <x v="77"/>
    <x v="12"/>
    <x v="6"/>
    <n v="23.5"/>
    <n v="4"/>
    <x v="9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80"/>
    <s v="6"/>
    <s v="PC"/>
    <n v="23.5"/>
    <n v="94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18"/>
    <x v="77"/>
    <x v="12"/>
    <x v="6"/>
    <n v="23.5"/>
    <n v="1"/>
    <x v="11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75"/>
    <s v="5"/>
    <s v="PC"/>
    <n v="23.5"/>
    <n v="23.5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19"/>
    <x v="77"/>
    <x v="12"/>
    <x v="6"/>
    <n v="23.5"/>
    <n v="2"/>
    <x v="12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75"/>
    <s v="3"/>
    <s v="PC"/>
    <n v="23.5"/>
    <n v="47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20"/>
    <x v="78"/>
    <x v="13"/>
    <x v="7"/>
    <n v="32.1"/>
    <n v="16"/>
    <x v="13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95"/>
    <s v="1"/>
    <s v="PC"/>
    <n v="32.1"/>
    <n v="513.6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29"/>
    <x v="78"/>
    <x v="13"/>
    <x v="7"/>
    <n v="32.1"/>
    <n v="19"/>
    <x v="17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95"/>
    <s v="4"/>
    <s v="PC"/>
    <n v="32.1"/>
    <n v="609.9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20"/>
    <x v="78"/>
    <x v="13"/>
    <x v="7"/>
    <n v="32.1"/>
    <n v="13"/>
    <x v="18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90"/>
    <s v="6"/>
    <s v="PC"/>
    <n v="32.1"/>
    <n v="417.3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29"/>
    <x v="78"/>
    <x v="13"/>
    <x v="7"/>
    <n v="32.1"/>
    <n v="17"/>
    <x v="19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90"/>
    <s v="3"/>
    <s v="PC"/>
    <n v="32.1"/>
    <n v="545.70000000000005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20"/>
    <x v="78"/>
    <x v="13"/>
    <x v="7"/>
    <n v="32.1"/>
    <n v="8"/>
    <x v="14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100"/>
    <s v="5"/>
    <s v="PC"/>
    <n v="32.1"/>
    <n v="256.8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29"/>
    <x v="78"/>
    <x v="13"/>
    <x v="7"/>
    <n v="32.1"/>
    <n v="6"/>
    <x v="27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100"/>
    <s v="2"/>
    <s v="PC"/>
    <n v="32.1"/>
    <n v="192.6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21"/>
    <x v="79"/>
    <x v="14"/>
    <x v="8"/>
    <n v="29.25"/>
    <n v="41"/>
    <x v="1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29.25"/>
    <n v="1199.25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22"/>
    <x v="80"/>
    <x v="15"/>
    <x v="9"/>
    <n v="38.75"/>
    <n v="41"/>
    <x v="5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38.75"/>
    <n v="1588.75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31"/>
    <x v="81"/>
    <x v="18"/>
    <x v="9"/>
    <n v="38.75"/>
    <n v="45"/>
    <x v="1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2"/>
    <s v="PC"/>
    <n v="38.75"/>
    <n v="1743.75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27"/>
    <x v="81"/>
    <x v="18"/>
    <x v="9"/>
    <n v="38.75"/>
    <n v="44"/>
    <x v="6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38.75"/>
    <n v="1705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30"/>
    <x v="82"/>
    <x v="20"/>
    <x v="7"/>
    <n v="27.9"/>
    <n v="3"/>
    <x v="13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95"/>
    <s v="1"/>
    <s v="PC"/>
    <n v="27.9"/>
    <n v="83.7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30"/>
    <x v="82"/>
    <x v="20"/>
    <x v="7"/>
    <n v="27.9"/>
    <n v="2"/>
    <x v="18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90"/>
    <s v="2"/>
    <s v="PC"/>
    <n v="27.9"/>
    <n v="55.8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30"/>
    <x v="82"/>
    <x v="20"/>
    <x v="7"/>
    <n v="27.9"/>
    <n v="1"/>
    <x v="20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85"/>
    <s v="3"/>
    <s v="PC"/>
    <n v="27.9"/>
    <n v="27.9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30"/>
    <x v="82"/>
    <x v="20"/>
    <x v="7"/>
    <n v="27.9"/>
    <n v="2"/>
    <x v="14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100"/>
    <s v="4"/>
    <s v="PC"/>
    <n v="27.9"/>
    <n v="55.8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16"/>
    <x v="83"/>
    <x v="7"/>
    <x v="4"/>
    <n v="86"/>
    <n v="70"/>
    <x v="1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86"/>
    <n v="6020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10"/>
    <x v="83"/>
    <x v="7"/>
    <x v="4"/>
    <n v="86"/>
    <n v="29"/>
    <x v="6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2"/>
    <s v="PC"/>
    <n v="86"/>
    <n v="2494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34"/>
    <x v="84"/>
    <x v="21"/>
    <x v="9"/>
    <n v="1"/>
    <n v="65"/>
    <x v="1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1"/>
    <n v="65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33"/>
    <x v="85"/>
    <x v="19"/>
    <x v="3"/>
    <n v="85"/>
    <n v="63"/>
    <x v="2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85"/>
    <n v="5355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28"/>
    <x v="85"/>
    <x v="19"/>
    <x v="3"/>
    <n v="85"/>
    <n v="52"/>
    <x v="0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2"/>
    <s v="PC"/>
    <n v="85"/>
    <n v="4420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2"/>
    <x v="86"/>
    <x v="2"/>
    <x v="1"/>
    <n v="89.68"/>
    <n v="32"/>
    <x v="2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2"/>
    <s v="PC"/>
    <n v="89.68"/>
    <n v="2869.76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11"/>
    <x v="86"/>
    <x v="2"/>
    <x v="1"/>
    <n v="89.68"/>
    <n v="37"/>
    <x v="0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89.68"/>
    <n v="3318.16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3"/>
    <x v="87"/>
    <x v="3"/>
    <x v="2"/>
    <n v="45.5"/>
    <n v="57"/>
    <x v="2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2"/>
    <s v="PC"/>
    <n v="45.5"/>
    <n v="2593.5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4"/>
    <x v="87"/>
    <x v="3"/>
    <x v="2"/>
    <n v="45.5"/>
    <n v="114"/>
    <x v="0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45.5"/>
    <n v="5187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25"/>
    <x v="88"/>
    <x v="17"/>
    <x v="9"/>
    <n v="1"/>
    <n v="48"/>
    <x v="3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1"/>
    <n v="48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12"/>
    <x v="89"/>
    <x v="8"/>
    <x v="5"/>
    <n v="1"/>
    <n v="22"/>
    <x v="7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1"/>
    <n v="22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7"/>
    <x v="90"/>
    <x v="6"/>
    <x v="3"/>
    <n v="67.8"/>
    <n v="55"/>
    <x v="4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67.8"/>
    <n v="3729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8"/>
    <x v="90"/>
    <x v="6"/>
    <x v="3"/>
    <n v="67.8"/>
    <n v="82"/>
    <x v="5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2"/>
    <s v="PC"/>
    <n v="67.8"/>
    <n v="5559.6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1"/>
    <x v="91"/>
    <x v="1"/>
    <x v="1"/>
    <n v="66.680000000000007"/>
    <n v="54"/>
    <x v="1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66.680000000000007"/>
    <n v="3600.72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9"/>
    <x v="91"/>
    <x v="1"/>
    <x v="1"/>
    <n v="66.5"/>
    <n v="23"/>
    <x v="5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2"/>
    <s v="PC"/>
    <n v="66.5"/>
    <n v="1529.5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23"/>
    <x v="92"/>
    <x v="9"/>
    <x v="2"/>
    <n v="38.5"/>
    <n v="60"/>
    <x v="1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3"/>
    <s v="PC"/>
    <n v="38.5"/>
    <n v="2310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35"/>
    <x v="92"/>
    <x v="9"/>
    <x v="2"/>
    <n v="38.5"/>
    <n v="72"/>
    <x v="4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2"/>
    <s v="PC"/>
    <n v="38.5"/>
    <n v="2772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13"/>
    <x v="92"/>
    <x v="9"/>
    <x v="2"/>
    <n v="38.5"/>
    <n v="129"/>
    <x v="5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38.5"/>
    <n v="4966.5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26"/>
    <x v="93"/>
    <x v="4"/>
    <x v="0"/>
    <n v="30"/>
    <n v="54"/>
    <x v="1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30"/>
    <n v="1620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5"/>
    <x v="93"/>
    <x v="4"/>
    <x v="0"/>
    <n v="30"/>
    <n v="25"/>
    <x v="3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2"/>
    <s v="PC"/>
    <n v="30"/>
    <n v="750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14"/>
    <x v="94"/>
    <x v="10"/>
    <x v="3"/>
    <n v="81.5"/>
    <n v="48"/>
    <x v="3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81.5"/>
    <n v="3912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6"/>
    <x v="95"/>
    <x v="5"/>
    <x v="2"/>
    <n v="46"/>
    <n v="86"/>
    <x v="3"/>
    <d v="2026-11-30T00:00:00"/>
    <s v="SMOVSES"/>
    <s v=""/>
    <s v="1"/>
    <d v="2026-07-24T00:00:00"/>
    <s v="B"/>
    <s v=""/>
    <s v="YNBP"/>
    <s v="FR01"/>
    <s v="A01"/>
    <s v="F003"/>
    <s v="F003"/>
    <s v="ES02AB005"/>
    <s v="10"/>
    <s v="TU"/>
    <s v="1"/>
    <s v="PC"/>
    <n v="46"/>
    <n v="3956"/>
    <s v="EUR"/>
    <d v="2026-11-30T00:00:00"/>
    <d v="2026-12-03T00:00:00"/>
    <d v="2026-07-24T00:00:00"/>
    <s v=""/>
    <s v=""/>
    <s v="6000"/>
  </r>
  <r>
    <s v="27E"/>
    <s v="E2"/>
    <s v=""/>
    <s v="Wholesale"/>
    <x v="0"/>
    <s v="07"/>
    <s v="PUNTOTRES BAGS &amp; BELTS, s.l."/>
    <x v="24"/>
    <x v="96"/>
    <x v="16"/>
    <x v="10"/>
    <n v="21.35"/>
    <n v="13"/>
    <x v="28"/>
    <d v="2026-07-27T00:00:00"/>
    <s v="SMOVSES"/>
    <s v=""/>
    <s v="1"/>
    <d v="2026-07-27T00:00:00"/>
    <s v="B"/>
    <s v=""/>
    <s v="YNBP"/>
    <s v="FR01"/>
    <s v="A01"/>
    <s v="F003"/>
    <s v="F003"/>
    <s v="ES02AB005"/>
    <s v="10"/>
    <s v="S"/>
    <s v="3"/>
    <s v="PC"/>
    <n v="21.35"/>
    <n v="277.55"/>
    <s v="EUR"/>
    <d v="2026-07-27T00:00:00"/>
    <d v="2026-07-30T00:00:00"/>
    <d v="2026-07-27T00:00:00"/>
    <s v=""/>
    <s v=""/>
    <s v="6000"/>
  </r>
  <r>
    <s v="27E"/>
    <s v="E2"/>
    <s v=""/>
    <s v="Wholesale"/>
    <x v="0"/>
    <s v="07"/>
    <s v="PUNTOTRES BAGS &amp; BELTS, s.l."/>
    <x v="32"/>
    <x v="96"/>
    <x v="16"/>
    <x v="10"/>
    <n v="21.35"/>
    <n v="9"/>
    <x v="23"/>
    <d v="2026-07-27T00:00:00"/>
    <s v="SMOVSES"/>
    <s v=""/>
    <s v="1"/>
    <d v="2026-07-27T00:00:00"/>
    <s v="B"/>
    <s v=""/>
    <s v="YNBP"/>
    <s v="FR01"/>
    <s v="A01"/>
    <s v="F003"/>
    <s v="F003"/>
    <s v="ES02AB005"/>
    <s v="10"/>
    <s v="S"/>
    <s v="6"/>
    <s v="PC"/>
    <n v="21.35"/>
    <n v="192.15"/>
    <s v="EUR"/>
    <d v="2026-07-27T00:00:00"/>
    <d v="2026-07-30T00:00:00"/>
    <d v="2026-07-27T00:00:00"/>
    <s v=""/>
    <s v=""/>
    <s v="6000"/>
  </r>
  <r>
    <s v="27E"/>
    <s v="E2"/>
    <s v=""/>
    <s v="Wholesale"/>
    <x v="0"/>
    <s v="07"/>
    <s v="PUNTOTRES BAGS &amp; BELTS, s.l."/>
    <x v="24"/>
    <x v="96"/>
    <x v="16"/>
    <x v="10"/>
    <n v="21.35"/>
    <n v="23"/>
    <x v="15"/>
    <d v="2026-07-27T00:00:00"/>
    <s v="SMOVSES"/>
    <s v=""/>
    <s v="1"/>
    <d v="2026-07-27T00:00:00"/>
    <s v="B"/>
    <s v=""/>
    <s v="YNBP"/>
    <s v="FR01"/>
    <s v="A01"/>
    <s v="F003"/>
    <s v="F003"/>
    <s v="ES02AB005"/>
    <s v="10"/>
    <s v="M"/>
    <s v="2"/>
    <s v="PC"/>
    <n v="21.35"/>
    <n v="491.05"/>
    <s v="EUR"/>
    <d v="2026-07-27T00:00:00"/>
    <d v="2026-07-30T00:00:00"/>
    <d v="2026-07-27T00:00:00"/>
    <s v=""/>
    <s v=""/>
    <s v="6000"/>
  </r>
  <r>
    <s v="27E"/>
    <s v="E2"/>
    <s v=""/>
    <s v="Wholesale"/>
    <x v="0"/>
    <s v="07"/>
    <s v="PUNTOTRES BAGS &amp; BELTS, s.l."/>
    <x v="32"/>
    <x v="96"/>
    <x v="16"/>
    <x v="10"/>
    <n v="21.35"/>
    <n v="12"/>
    <x v="24"/>
    <d v="2026-07-27T00:00:00"/>
    <s v="SMOVSES"/>
    <s v=""/>
    <s v="1"/>
    <d v="2026-07-27T00:00:00"/>
    <s v="B"/>
    <s v=""/>
    <s v="YNBP"/>
    <s v="FR01"/>
    <s v="A01"/>
    <s v="F003"/>
    <s v="F003"/>
    <s v="ES02AB005"/>
    <s v="10"/>
    <s v="M"/>
    <s v="5"/>
    <s v="PC"/>
    <n v="21.35"/>
    <n v="256.2"/>
    <s v="EUR"/>
    <d v="2026-07-27T00:00:00"/>
    <d v="2026-07-30T00:00:00"/>
    <d v="2026-07-27T00:00:00"/>
    <s v=""/>
    <s v=""/>
    <s v="6000"/>
  </r>
  <r>
    <s v="27E"/>
    <s v="E2"/>
    <s v=""/>
    <s v="Wholesale"/>
    <x v="0"/>
    <s v="07"/>
    <s v="PUNTOTRES BAGS &amp; BELTS, s.l."/>
    <x v="24"/>
    <x v="96"/>
    <x v="16"/>
    <x v="10"/>
    <n v="21.35"/>
    <n v="14"/>
    <x v="22"/>
    <d v="2026-07-27T00:00:00"/>
    <s v="SMOVSES"/>
    <s v=""/>
    <s v="1"/>
    <d v="2026-07-27T00:00:00"/>
    <s v="B"/>
    <s v=""/>
    <s v="YNBP"/>
    <s v="FR01"/>
    <s v="A01"/>
    <s v="F003"/>
    <s v="F003"/>
    <s v="ES02AB005"/>
    <s v="10"/>
    <s v="L"/>
    <s v="1"/>
    <s v="PC"/>
    <n v="21.35"/>
    <n v="298.89999999999998"/>
    <s v="EUR"/>
    <d v="2026-07-27T00:00:00"/>
    <d v="2026-07-30T00:00:00"/>
    <d v="2026-07-27T00:00:00"/>
    <s v=""/>
    <s v=""/>
    <s v="6000"/>
  </r>
  <r>
    <s v="27E"/>
    <s v="E2"/>
    <s v=""/>
    <s v="Wholesale"/>
    <x v="0"/>
    <s v="07"/>
    <s v="PUNTOTRES BAGS &amp; BELTS, s.l."/>
    <x v="32"/>
    <x v="96"/>
    <x v="16"/>
    <x v="10"/>
    <n v="21.35"/>
    <n v="7"/>
    <x v="25"/>
    <d v="2026-07-27T00:00:00"/>
    <s v="SMOVSES"/>
    <s v=""/>
    <s v="1"/>
    <d v="2026-07-27T00:00:00"/>
    <s v="B"/>
    <s v=""/>
    <s v="YNBP"/>
    <s v="FR01"/>
    <s v="A01"/>
    <s v="F003"/>
    <s v="F003"/>
    <s v="ES02AB005"/>
    <s v="10"/>
    <s v="L"/>
    <s v="4"/>
    <s v="PC"/>
    <n v="21.35"/>
    <n v="149.44999999999999"/>
    <s v="EUR"/>
    <d v="2026-07-27T00:00:00"/>
    <d v="2026-07-30T00:00:00"/>
    <d v="2026-07-27T00:00:00"/>
    <s v=""/>
    <s v=""/>
    <s v="6000"/>
  </r>
</pivotCacheRecords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_rels/pivotTable2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CDDD8-CB85-4F01-9F82-965AC8038A32}" name="Tableau croisé dynamique22" cacheId="1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F242" firstHeaderRow="1" firstDataRow="1" firstDataCol="5"/>
  <pivotFields count="40"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 defaultSubtotal="0">
      <items count="5">
        <item x="2"/>
        <item x="3"/>
        <item x="4"/>
        <item x="1"/>
        <item x="0"/>
      </items>
    </pivotField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98">
        <item x="20"/>
        <item x="37"/>
        <item x="8"/>
        <item x="76"/>
        <item x="0"/>
        <item x="46"/>
        <item x="21"/>
        <item x="22"/>
        <item x="23"/>
        <item x="24"/>
        <item x="25"/>
        <item x="26"/>
        <item x="27"/>
        <item x="28"/>
        <item x="29"/>
        <item x="30"/>
        <item x="31"/>
        <item x="38"/>
        <item x="39"/>
        <item x="40"/>
        <item x="41"/>
        <item x="17"/>
        <item x="9"/>
        <item x="18"/>
        <item x="10"/>
        <item x="11"/>
        <item x="69"/>
        <item x="77"/>
        <item x="78"/>
        <item x="79"/>
        <item x="80"/>
        <item x="1"/>
        <item x="81"/>
        <item x="82"/>
        <item x="83"/>
        <item x="84"/>
        <item x="85"/>
        <item x="86"/>
        <item x="2"/>
        <item x="87"/>
        <item x="3"/>
        <item x="88"/>
        <item x="89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32"/>
        <item x="33"/>
        <item x="34"/>
        <item x="35"/>
        <item x="36"/>
        <item x="42"/>
        <item x="43"/>
        <item x="44"/>
        <item x="45"/>
        <item x="12"/>
        <item x="19"/>
        <item x="13"/>
        <item x="14"/>
        <item x="15"/>
        <item x="16"/>
        <item x="90"/>
        <item x="6"/>
        <item x="91"/>
        <item x="7"/>
        <item x="92"/>
        <item x="93"/>
        <item x="4"/>
        <item x="94"/>
        <item x="95"/>
        <item x="5"/>
        <item x="61"/>
        <item x="62"/>
        <item x="63"/>
        <item x="64"/>
        <item x="65"/>
        <item x="66"/>
        <item x="67"/>
        <item x="68"/>
        <item x="73"/>
        <item x="74"/>
        <item x="75"/>
        <item x="96"/>
        <item t="default"/>
      </items>
    </pivotField>
    <pivotField axis="axisRow" compact="0" outline="0" subtotalTop="0" showAll="0">
      <items count="23">
        <item x="11"/>
        <item x="12"/>
        <item x="13"/>
        <item x="0"/>
        <item x="14"/>
        <item x="15"/>
        <item x="6"/>
        <item x="1"/>
        <item x="9"/>
        <item x="18"/>
        <item x="20"/>
        <item x="16"/>
        <item x="7"/>
        <item x="21"/>
        <item x="19"/>
        <item x="2"/>
        <item x="3"/>
        <item x="4"/>
        <item x="17"/>
        <item x="10"/>
        <item x="5"/>
        <item x="8"/>
        <item t="default"/>
      </items>
    </pivotField>
    <pivotField axis="axisRow" compact="0" outline="0" subtotalTop="0" showAll="0" defaultSubtotal="0">
      <items count="11">
        <item x="9"/>
        <item x="10"/>
        <item x="7"/>
        <item x="6"/>
        <item x="0"/>
        <item x="5"/>
        <item x="3"/>
        <item x="1"/>
        <item x="2"/>
        <item x="4"/>
        <item x="8"/>
      </items>
    </pivotField>
    <pivotField compact="0" numFmtId="4" outline="0" subtotalTop="0" showAll="0"/>
    <pivotField dataField="1" compact="0" numFmtId="164" outline="0" subtotalTop="0" showAll="0"/>
    <pivotField axis="axisRow" compact="0" outline="0" subtotalTop="0" showAll="0">
      <items count="30">
        <item x="12"/>
        <item x="10"/>
        <item x="26"/>
        <item x="16"/>
        <item x="27"/>
        <item x="21"/>
        <item x="19"/>
        <item x="17"/>
        <item x="25"/>
        <item x="24"/>
        <item x="23"/>
        <item x="5"/>
        <item x="0"/>
        <item x="3"/>
        <item x="8"/>
        <item x="6"/>
        <item x="2"/>
        <item x="4"/>
        <item x="14"/>
        <item x="11"/>
        <item x="9"/>
        <item x="20"/>
        <item x="18"/>
        <item x="13"/>
        <item x="22"/>
        <item x="15"/>
        <item x="28"/>
        <item x="1"/>
        <item x="7"/>
        <item t="default"/>
      </items>
    </pivotField>
    <pivotField compact="0" numFmtId="14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14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165" outline="0" subtotalTop="0" showAll="0"/>
    <pivotField compact="0" numFmtId="4" outline="0" subtotalTop="0" showAll="0"/>
    <pivotField compact="0" outline="0" subtotalTop="0" showAll="0"/>
    <pivotField compact="0" numFmtId="14" outline="0" subtotalTop="0" showAll="0"/>
    <pivotField compact="0" numFmtId="14" outline="0" subtotalTop="0" showAll="0"/>
    <pivotField compact="0" numFmtId="14" outline="0" subtotalTop="0" showAll="0"/>
    <pivotField compact="0" outline="0" subtotalTop="0" showAll="0"/>
    <pivotField compact="0" outline="0" subtotalTop="0" showAll="0"/>
    <pivotField compact="0" outline="0" subtotalTop="0" showAll="0"/>
  </pivotFields>
  <rowFields count="5">
    <field x="9"/>
    <field x="10"/>
    <field x="13"/>
    <field x="4"/>
    <field x="8"/>
  </rowFields>
  <rowItems count="239">
    <i>
      <x/>
      <x v="6"/>
      <x v="14"/>
      <x/>
      <x v="6"/>
    </i>
    <i t="default" r="2">
      <x v="14"/>
    </i>
    <i t="default">
      <x/>
    </i>
    <i>
      <x v="1"/>
      <x v="3"/>
      <x/>
      <x/>
      <x v="7"/>
    </i>
    <i r="3">
      <x v="4"/>
      <x v="27"/>
    </i>
    <i t="default" r="2">
      <x/>
    </i>
    <i r="2">
      <x v="1"/>
      <x/>
      <x v="7"/>
    </i>
    <i t="default" r="2">
      <x v="1"/>
    </i>
    <i r="2">
      <x v="2"/>
      <x v="4"/>
      <x v="26"/>
    </i>
    <i r="4">
      <x v="27"/>
    </i>
    <i t="default" r="2">
      <x v="2"/>
    </i>
    <i r="2">
      <x v="3"/>
      <x v="2"/>
      <x v="43"/>
    </i>
    <i r="3">
      <x v="4"/>
      <x v="26"/>
    </i>
    <i r="4">
      <x v="27"/>
    </i>
    <i t="default" r="2">
      <x v="3"/>
    </i>
    <i r="2">
      <x v="19"/>
      <x/>
      <x v="7"/>
    </i>
    <i r="3">
      <x v="2"/>
      <x v="43"/>
    </i>
    <i r="3">
      <x v="4"/>
      <x v="27"/>
    </i>
    <i t="default" r="2">
      <x v="19"/>
    </i>
    <i r="2">
      <x v="20"/>
      <x/>
      <x v="7"/>
    </i>
    <i r="3">
      <x v="2"/>
      <x v="43"/>
    </i>
    <i r="3">
      <x v="4"/>
      <x v="27"/>
    </i>
    <i t="default" r="2">
      <x v="20"/>
    </i>
    <i r="2">
      <x v="21"/>
      <x v="4"/>
      <x v="27"/>
    </i>
    <i t="default" r="2">
      <x v="21"/>
    </i>
    <i t="default">
      <x v="1"/>
    </i>
    <i>
      <x v="2"/>
      <x v="2"/>
      <x v="4"/>
      <x v="4"/>
      <x v="28"/>
    </i>
    <i t="default" r="2">
      <x v="4"/>
    </i>
    <i r="2">
      <x v="5"/>
      <x v="2"/>
      <x v="44"/>
    </i>
    <i t="default" r="2">
      <x v="5"/>
    </i>
    <i r="2">
      <x v="6"/>
      <x v="2"/>
      <x v="44"/>
    </i>
    <i r="3">
      <x v="4"/>
      <x v="28"/>
    </i>
    <i t="default" r="2">
      <x v="6"/>
    </i>
    <i r="2">
      <x v="7"/>
      <x v="2"/>
      <x v="44"/>
    </i>
    <i r="3">
      <x v="4"/>
      <x v="28"/>
    </i>
    <i t="default" r="2">
      <x v="7"/>
    </i>
    <i r="2">
      <x v="18"/>
      <x/>
      <x v="8"/>
    </i>
    <i r="3">
      <x v="2"/>
      <x v="44"/>
    </i>
    <i r="4">
      <x v="55"/>
    </i>
    <i r="3">
      <x v="4"/>
      <x v="28"/>
    </i>
    <i t="default" r="2">
      <x v="18"/>
    </i>
    <i r="2">
      <x v="21"/>
      <x v="2"/>
      <x v="44"/>
    </i>
    <i r="4">
      <x v="55"/>
    </i>
    <i t="default" r="2">
      <x v="21"/>
    </i>
    <i r="2">
      <x v="22"/>
      <x v="2"/>
      <x v="44"/>
    </i>
    <i r="4">
      <x v="55"/>
    </i>
    <i r="3">
      <x v="4"/>
      <x v="28"/>
    </i>
    <i t="default" r="2">
      <x v="22"/>
    </i>
    <i r="2">
      <x v="23"/>
      <x/>
      <x v="8"/>
    </i>
    <i r="3">
      <x v="2"/>
      <x v="44"/>
    </i>
    <i r="4">
      <x v="55"/>
    </i>
    <i r="3">
      <x v="4"/>
      <x v="28"/>
    </i>
    <i t="default" r="2">
      <x v="23"/>
    </i>
    <i t="default">
      <x v="2"/>
    </i>
    <i>
      <x v="3"/>
      <x v="4"/>
      <x v="12"/>
      <x/>
      <x/>
    </i>
    <i r="3">
      <x v="1"/>
      <x v="1"/>
    </i>
    <i r="3">
      <x v="2"/>
      <x v="5"/>
    </i>
    <i r="3">
      <x v="3"/>
      <x v="2"/>
    </i>
    <i r="3">
      <x v="4"/>
      <x v="3"/>
    </i>
    <i r="4">
      <x v="4"/>
    </i>
    <i t="default" r="2">
      <x v="12"/>
    </i>
    <i t="default">
      <x v="3"/>
    </i>
    <i>
      <x v="4"/>
      <x v="10"/>
      <x v="27"/>
      <x/>
      <x v="9"/>
    </i>
    <i r="3">
      <x v="4"/>
      <x v="29"/>
    </i>
    <i t="default" r="2">
      <x v="27"/>
    </i>
    <i t="default">
      <x v="4"/>
    </i>
    <i>
      <x v="5"/>
      <x/>
      <x v="11"/>
      <x/>
      <x v="10"/>
    </i>
    <i r="3">
      <x v="4"/>
      <x v="30"/>
    </i>
    <i t="default" r="2">
      <x v="11"/>
    </i>
    <i t="default">
      <x v="5"/>
    </i>
    <i>
      <x v="6"/>
      <x v="6"/>
      <x v="11"/>
      <x/>
      <x v="60"/>
    </i>
    <i r="3">
      <x v="1"/>
      <x v="65"/>
    </i>
    <i r="3">
      <x v="2"/>
      <x v="85"/>
    </i>
    <i r="3">
      <x v="3"/>
      <x v="69"/>
    </i>
    <i r="4">
      <x v="70"/>
    </i>
    <i r="3">
      <x v="4"/>
      <x v="75"/>
    </i>
    <i r="4">
      <x v="76"/>
    </i>
    <i r="4">
      <x v="93"/>
    </i>
    <i t="default" r="2">
      <x v="11"/>
    </i>
    <i r="2">
      <x v="17"/>
      <x v="1"/>
      <x v="65"/>
    </i>
    <i r="3">
      <x v="4"/>
      <x v="75"/>
    </i>
    <i r="4">
      <x v="76"/>
    </i>
    <i t="default" r="2">
      <x v="17"/>
    </i>
    <i r="2">
      <x v="27"/>
      <x/>
      <x v="60"/>
    </i>
    <i r="3">
      <x v="2"/>
      <x v="45"/>
    </i>
    <i r="3">
      <x v="3"/>
      <x v="21"/>
    </i>
    <i r="3">
      <x v="4"/>
      <x v="57"/>
    </i>
    <i t="default" r="2">
      <x v="27"/>
    </i>
    <i t="default">
      <x v="6"/>
    </i>
    <i>
      <x v="7"/>
      <x v="7"/>
      <x v="11"/>
      <x/>
      <x v="61"/>
    </i>
    <i r="3">
      <x v="1"/>
      <x v="66"/>
    </i>
    <i r="3">
      <x v="2"/>
      <x v="86"/>
    </i>
    <i r="3">
      <x v="4"/>
      <x v="77"/>
    </i>
    <i r="4">
      <x v="78"/>
    </i>
    <i t="default" r="2">
      <x v="11"/>
    </i>
    <i r="2">
      <x v="27"/>
      <x/>
      <x v="61"/>
    </i>
    <i r="3">
      <x v="4"/>
      <x v="31"/>
    </i>
    <i r="4">
      <x v="77"/>
    </i>
    <i t="default" r="2">
      <x v="27"/>
    </i>
    <i t="default">
      <x v="7"/>
    </i>
    <i>
      <x v="8"/>
      <x v="8"/>
      <x v="11"/>
      <x v="1"/>
      <x v="67"/>
    </i>
    <i r="3">
      <x v="2"/>
      <x v="87"/>
    </i>
    <i r="4">
      <x v="88"/>
    </i>
    <i r="3">
      <x v="3"/>
      <x v="71"/>
    </i>
    <i r="3">
      <x v="4"/>
      <x v="79"/>
    </i>
    <i r="4">
      <x v="94"/>
    </i>
    <i t="default" r="2">
      <x v="11"/>
    </i>
    <i r="2">
      <x v="17"/>
      <x v="4"/>
      <x v="79"/>
    </i>
    <i t="default" r="2">
      <x v="17"/>
    </i>
    <i r="2">
      <x v="27"/>
      <x/>
      <x v="11"/>
    </i>
    <i r="3">
      <x v="4"/>
      <x v="79"/>
    </i>
    <i t="default" r="2">
      <x v="27"/>
    </i>
    <i t="default">
      <x v="8"/>
    </i>
    <i>
      <x v="9"/>
      <x/>
      <x v="15"/>
      <x v="1"/>
      <x v="17"/>
    </i>
    <i r="3">
      <x v="2"/>
      <x v="46"/>
    </i>
    <i r="3">
      <x v="4"/>
      <x v="32"/>
    </i>
    <i t="default" r="2">
      <x v="15"/>
    </i>
    <i r="2">
      <x v="27"/>
      <x v="2"/>
      <x v="55"/>
    </i>
    <i r="3">
      <x v="4"/>
      <x v="32"/>
    </i>
    <i t="default" r="2">
      <x v="27"/>
    </i>
    <i t="default">
      <x v="9"/>
    </i>
    <i>
      <x v="10"/>
      <x v="2"/>
      <x v="18"/>
      <x v="2"/>
      <x v="55"/>
    </i>
    <i r="3">
      <x v="4"/>
      <x v="33"/>
    </i>
    <i t="default" r="2">
      <x v="18"/>
    </i>
    <i r="2">
      <x v="21"/>
      <x v="2"/>
      <x v="55"/>
    </i>
    <i r="3">
      <x v="4"/>
      <x v="33"/>
    </i>
    <i t="default" r="2">
      <x v="21"/>
    </i>
    <i r="2">
      <x v="22"/>
      <x v="2"/>
      <x v="47"/>
    </i>
    <i r="4">
      <x v="55"/>
    </i>
    <i r="3">
      <x v="4"/>
      <x v="33"/>
    </i>
    <i t="default" r="2">
      <x v="22"/>
    </i>
    <i r="2">
      <x v="23"/>
      <x v="2"/>
      <x v="55"/>
    </i>
    <i r="3">
      <x v="4"/>
      <x v="33"/>
    </i>
    <i t="default" r="2">
      <x v="23"/>
    </i>
    <i t="default">
      <x v="10"/>
    </i>
    <i>
      <x v="11"/>
      <x v="1"/>
      <x v="8"/>
      <x v="2"/>
      <x v="55"/>
    </i>
    <i r="3">
      <x v="4"/>
      <x v="96"/>
    </i>
    <i t="default" r="2">
      <x v="8"/>
    </i>
    <i r="2">
      <x v="9"/>
      <x v="2"/>
      <x v="55"/>
    </i>
    <i r="4">
      <x v="89"/>
    </i>
    <i r="3">
      <x v="4"/>
      <x v="96"/>
    </i>
    <i t="default" r="2">
      <x v="9"/>
    </i>
    <i r="2">
      <x v="10"/>
      <x v="2"/>
      <x v="55"/>
    </i>
    <i r="3">
      <x v="4"/>
      <x v="96"/>
    </i>
    <i t="default" r="2">
      <x v="10"/>
    </i>
    <i r="2">
      <x v="24"/>
      <x v="2"/>
      <x v="48"/>
    </i>
    <i r="3">
      <x v="4"/>
      <x v="96"/>
    </i>
    <i t="default" r="2">
      <x v="24"/>
    </i>
    <i r="2">
      <x v="25"/>
      <x/>
      <x v="12"/>
    </i>
    <i r="3">
      <x v="4"/>
      <x v="96"/>
    </i>
    <i t="default" r="2">
      <x v="25"/>
    </i>
    <i r="2">
      <x v="26"/>
      <x v="4"/>
      <x v="96"/>
    </i>
    <i t="default" r="2">
      <x v="26"/>
    </i>
    <i t="default">
      <x v="11"/>
    </i>
    <i>
      <x v="12"/>
      <x v="9"/>
      <x v="15"/>
      <x v="2"/>
      <x v="49"/>
    </i>
    <i r="3">
      <x v="3"/>
      <x v="22"/>
    </i>
    <i r="3">
      <x v="4"/>
      <x v="34"/>
    </i>
    <i r="4">
      <x v="57"/>
    </i>
    <i t="default" r="2">
      <x v="15"/>
    </i>
    <i r="2">
      <x v="27"/>
      <x/>
      <x v="13"/>
    </i>
    <i r="3">
      <x v="2"/>
      <x v="49"/>
    </i>
    <i r="3">
      <x v="3"/>
      <x v="23"/>
    </i>
    <i r="3">
      <x v="4"/>
      <x v="34"/>
    </i>
    <i t="default" r="2">
      <x v="27"/>
    </i>
    <i t="default">
      <x v="12"/>
    </i>
    <i>
      <x v="13"/>
      <x/>
      <x v="27"/>
      <x v="4"/>
      <x v="35"/>
    </i>
    <i t="default" r="2">
      <x v="27"/>
    </i>
    <i t="default">
      <x v="13"/>
    </i>
    <i>
      <x v="14"/>
      <x v="6"/>
      <x v="12"/>
      <x v="1"/>
      <x v="18"/>
    </i>
    <i r="3">
      <x v="2"/>
      <x v="50"/>
    </i>
    <i r="4">
      <x v="51"/>
    </i>
    <i r="3">
      <x v="4"/>
      <x v="36"/>
    </i>
    <i r="4">
      <x v="58"/>
    </i>
    <i t="default" r="2">
      <x v="12"/>
    </i>
    <i r="2">
      <x v="16"/>
      <x v="4"/>
      <x v="36"/>
    </i>
    <i r="4">
      <x v="58"/>
    </i>
    <i t="default" r="2">
      <x v="16"/>
    </i>
    <i t="default">
      <x v="14"/>
    </i>
    <i>
      <x v="15"/>
      <x v="7"/>
      <x v="12"/>
      <x v="1"/>
      <x v="19"/>
    </i>
    <i r="3">
      <x v="2"/>
      <x v="52"/>
    </i>
    <i r="4">
      <x v="53"/>
    </i>
    <i r="3">
      <x v="3"/>
      <x v="24"/>
    </i>
    <i r="3">
      <x v="4"/>
      <x v="37"/>
    </i>
    <i t="default" r="2">
      <x v="12"/>
    </i>
    <i r="2">
      <x v="16"/>
      <x/>
      <x v="14"/>
    </i>
    <i r="3">
      <x v="2"/>
      <x v="52"/>
    </i>
    <i r="3">
      <x v="4"/>
      <x v="37"/>
    </i>
    <i r="4">
      <x v="38"/>
    </i>
    <i t="default" r="2">
      <x v="16"/>
    </i>
    <i t="default">
      <x v="15"/>
    </i>
    <i>
      <x v="16"/>
      <x v="8"/>
      <x v="12"/>
      <x/>
      <x v="15"/>
    </i>
    <i r="3">
      <x v="1"/>
      <x v="20"/>
    </i>
    <i r="3">
      <x v="2"/>
      <x v="55"/>
    </i>
    <i r="3">
      <x v="4"/>
      <x v="39"/>
    </i>
    <i r="4">
      <x v="40"/>
    </i>
    <i r="4">
      <x v="59"/>
    </i>
    <i t="default" r="2">
      <x v="12"/>
    </i>
    <i r="2">
      <x v="16"/>
      <x v="2"/>
      <x v="54"/>
    </i>
    <i r="3">
      <x v="4"/>
      <x v="39"/>
    </i>
    <i r="4">
      <x v="40"/>
    </i>
    <i r="4">
      <x v="59"/>
    </i>
    <i t="default" r="2">
      <x v="16"/>
    </i>
    <i t="default">
      <x v="16"/>
    </i>
    <i>
      <x v="17"/>
      <x v="4"/>
      <x v="13"/>
      <x/>
      <x v="62"/>
    </i>
    <i r="3">
      <x v="2"/>
      <x v="90"/>
    </i>
    <i r="3">
      <x v="3"/>
      <x v="72"/>
    </i>
    <i r="3">
      <x v="4"/>
      <x v="80"/>
    </i>
    <i r="4">
      <x v="81"/>
    </i>
    <i t="default" r="2">
      <x v="13"/>
    </i>
    <i r="2">
      <x v="27"/>
      <x/>
      <x v="62"/>
    </i>
    <i r="3">
      <x v="1"/>
      <x v="68"/>
    </i>
    <i r="3">
      <x v="4"/>
      <x v="80"/>
    </i>
    <i t="default" r="2">
      <x v="27"/>
    </i>
    <i t="default">
      <x v="17"/>
    </i>
    <i>
      <x v="18"/>
      <x/>
      <x v="13"/>
      <x/>
      <x v="16"/>
    </i>
    <i r="3">
      <x v="2"/>
      <x v="55"/>
    </i>
    <i r="3">
      <x v="4"/>
      <x v="41"/>
    </i>
    <i t="default" r="2">
      <x v="13"/>
    </i>
    <i t="default">
      <x v="18"/>
    </i>
    <i>
      <x v="19"/>
      <x v="6"/>
      <x v="13"/>
      <x/>
      <x v="63"/>
    </i>
    <i r="3">
      <x v="2"/>
      <x v="91"/>
    </i>
    <i r="3">
      <x v="3"/>
      <x v="73"/>
    </i>
    <i r="3">
      <x v="4"/>
      <x v="82"/>
    </i>
    <i t="default" r="2">
      <x v="13"/>
    </i>
    <i t="default">
      <x v="19"/>
    </i>
    <i>
      <x v="20"/>
      <x v="8"/>
      <x v="13"/>
      <x/>
      <x v="64"/>
    </i>
    <i r="3">
      <x v="2"/>
      <x v="92"/>
    </i>
    <i r="3">
      <x v="3"/>
      <x v="74"/>
    </i>
    <i r="3">
      <x v="4"/>
      <x v="83"/>
    </i>
    <i r="4">
      <x v="84"/>
    </i>
    <i r="4">
      <x v="95"/>
    </i>
    <i t="default" r="2">
      <x v="13"/>
    </i>
    <i t="default">
      <x v="20"/>
    </i>
    <i>
      <x v="21"/>
      <x v="5"/>
      <x v="28"/>
      <x v="2"/>
      <x v="56"/>
    </i>
    <i r="3">
      <x v="3"/>
      <x v="25"/>
    </i>
    <i r="3">
      <x v="4"/>
      <x v="42"/>
    </i>
    <i t="default" r="2">
      <x v="28"/>
    </i>
    <i t="default">
      <x v="21"/>
    </i>
    <i t="grand">
      <x/>
    </i>
  </rowItems>
  <colItems count="1">
    <i/>
  </colItems>
  <dataFields count="1">
    <dataField name="Somme de Quantité échéancée" fld="12" baseField="0" baseItem="0" numFmtId="3"/>
  </dataFields>
  <formats count="3">
    <format dxfId="9">
      <pivotArea outline="0" collapsedLevelsAreSubtotals="1" fieldPosition="0"/>
    </format>
    <format dxfId="8">
      <pivotArea dataOnly="0" outline="0" fieldPosition="0">
        <references count="1">
          <reference field="13" count="0" defaultSubtotal="1"/>
        </references>
      </pivotArea>
    </format>
    <format dxfId="7">
      <pivotArea dataOnly="0" outline="0" fieldPosition="0">
        <references count="1">
          <reference field="9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05CA3-4532-4A5F-98AB-CEA7EB064118}" name="Tableau croisé dynamique21" cacheId="1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C40" firstHeaderRow="1" firstDataRow="1" firstDataCol="2"/>
  <pivotFields count="4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6">
        <item x="17"/>
        <item x="19"/>
        <item x="18"/>
        <item x="29"/>
        <item x="20"/>
        <item x="0"/>
        <item x="21"/>
        <item x="22"/>
        <item x="8"/>
        <item x="7"/>
        <item x="15"/>
        <item x="9"/>
        <item x="1"/>
        <item x="13"/>
        <item x="35"/>
        <item x="23"/>
        <item x="27"/>
        <item x="31"/>
        <item x="30"/>
        <item x="32"/>
        <item x="24"/>
        <item x="10"/>
        <item x="16"/>
        <item x="34"/>
        <item x="28"/>
        <item x="33"/>
        <item x="11"/>
        <item x="2"/>
        <item x="4"/>
        <item x="3"/>
        <item x="5"/>
        <item x="26"/>
        <item x="25"/>
        <item x="14"/>
        <item x="6"/>
        <item x="12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9"/>
        <item x="10"/>
        <item x="7"/>
        <item x="6"/>
        <item x="0"/>
        <item x="5"/>
        <item x="3"/>
        <item x="1"/>
        <item x="2"/>
        <item x="4"/>
        <item x="8"/>
      </items>
    </pivotField>
    <pivotField compact="0" numFmtId="4" outline="0" showAll="0" defaultSubtotal="0"/>
    <pivotField dataField="1" compact="0" numFmtId="164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5" outline="0" showAll="0" defaultSubtotal="0"/>
    <pivotField compact="0" numFmtId="4" outline="0" showAll="0" defaultSubtotal="0"/>
    <pivotField compact="0" outline="0" showAll="0" defaultSubtotal="0"/>
    <pivotField compact="0" numFmtId="14" outline="0" showAll="0" defaultSubtotal="0"/>
    <pivotField compact="0" numFmtId="14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7"/>
    <field x="10"/>
  </rowFields>
  <rowItems count="37">
    <i>
      <x/>
      <x v="6"/>
    </i>
    <i>
      <x v="1"/>
      <x v="3"/>
    </i>
    <i>
      <x v="2"/>
      <x v="3"/>
    </i>
    <i>
      <x v="3"/>
      <x v="2"/>
    </i>
    <i>
      <x v="4"/>
      <x v="2"/>
    </i>
    <i>
      <x v="5"/>
      <x v="4"/>
    </i>
    <i>
      <x v="6"/>
      <x v="10"/>
    </i>
    <i>
      <x v="7"/>
      <x/>
    </i>
    <i>
      <x v="8"/>
      <x v="6"/>
    </i>
    <i>
      <x v="9"/>
      <x v="6"/>
    </i>
    <i>
      <x v="10"/>
      <x v="6"/>
    </i>
    <i>
      <x v="11"/>
      <x v="7"/>
    </i>
    <i>
      <x v="12"/>
      <x v="7"/>
    </i>
    <i>
      <x v="13"/>
      <x v="8"/>
    </i>
    <i>
      <x v="14"/>
      <x v="8"/>
    </i>
    <i>
      <x v="15"/>
      <x v="8"/>
    </i>
    <i>
      <x v="16"/>
      <x/>
    </i>
    <i>
      <x v="17"/>
      <x/>
    </i>
    <i>
      <x v="18"/>
      <x v="2"/>
    </i>
    <i>
      <x v="19"/>
      <x v="1"/>
    </i>
    <i>
      <x v="20"/>
      <x v="1"/>
    </i>
    <i>
      <x v="21"/>
      <x v="9"/>
    </i>
    <i>
      <x v="22"/>
      <x v="9"/>
    </i>
    <i>
      <x v="23"/>
      <x/>
    </i>
    <i>
      <x v="24"/>
      <x v="6"/>
    </i>
    <i>
      <x v="25"/>
      <x v="6"/>
    </i>
    <i>
      <x v="26"/>
      <x v="7"/>
    </i>
    <i>
      <x v="27"/>
      <x v="7"/>
    </i>
    <i>
      <x v="28"/>
      <x v="8"/>
    </i>
    <i>
      <x v="29"/>
      <x v="8"/>
    </i>
    <i>
      <x v="30"/>
      <x v="4"/>
    </i>
    <i>
      <x v="31"/>
      <x v="4"/>
    </i>
    <i>
      <x v="32"/>
      <x/>
    </i>
    <i>
      <x v="33"/>
      <x v="6"/>
    </i>
    <i>
      <x v="34"/>
      <x v="8"/>
    </i>
    <i>
      <x v="35"/>
      <x v="5"/>
    </i>
    <i t="grand">
      <x/>
    </i>
  </rowItems>
  <colItems count="1">
    <i/>
  </colItems>
  <dataFields count="1">
    <dataField name="Somme de Quantité échéancée" fld="12" baseField="0" baseItem="0" numFmtId="3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2.xml.rels><?xml version="1.0" encoding="UTF-8" standalone="yes"?><Relationships xmlns="http://schemas.openxmlformats.org/package/2006/relationships"><Relationship Id="rId1" Target="../pivotTables/pivotTable2.xml" Type="http://schemas.openxmlformats.org/officeDocument/2006/relationships/pivot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ADD7A-E4E5-4B91-9907-C2C2345C5BC5}">
  <dimension ref="A2:F242"/>
  <sheetViews>
    <sheetView tabSelected="1" workbookViewId="0">
      <selection activeCell="H27" sqref="H27"/>
    </sheetView>
  </sheetViews>
  <sheetFormatPr baseColWidth="10" defaultRowHeight="12.5" x14ac:dyDescent="0.25"/>
  <cols>
    <col min="1" max="1" width="28.453125" bestFit="1" customWidth="1"/>
    <col min="2" max="2" width="28.7265625" bestFit="1" customWidth="1"/>
    <col min="5" max="5" width="18.90625" bestFit="1" customWidth="1"/>
    <col min="6" max="6" width="28.7265625" bestFit="1" customWidth="1"/>
  </cols>
  <sheetData>
    <row r="2" spans="1:6" ht="13" x14ac:dyDescent="0.25">
      <c r="A2" s="15" t="s">
        <v>347</v>
      </c>
      <c r="B2" s="15"/>
    </row>
    <row r="3" spans="1:6" x14ac:dyDescent="0.25">
      <c r="A3" s="8" t="s">
        <v>226</v>
      </c>
      <c r="B3" s="8" t="s">
        <v>227</v>
      </c>
      <c r="C3" s="8" t="s">
        <v>230</v>
      </c>
      <c r="D3" s="8" t="s">
        <v>222</v>
      </c>
      <c r="E3" s="8" t="s">
        <v>225</v>
      </c>
      <c r="F3" t="s">
        <v>294</v>
      </c>
    </row>
    <row r="4" spans="1:6" x14ac:dyDescent="0.25">
      <c r="A4" t="s">
        <v>77</v>
      </c>
      <c r="B4" t="s">
        <v>43</v>
      </c>
      <c r="C4" t="s">
        <v>78</v>
      </c>
      <c r="D4" t="s">
        <v>73</v>
      </c>
      <c r="E4" t="s">
        <v>76</v>
      </c>
      <c r="F4" s="10">
        <v>200</v>
      </c>
    </row>
    <row r="5" spans="1:6" x14ac:dyDescent="0.25">
      <c r="C5" s="11" t="s">
        <v>296</v>
      </c>
      <c r="D5" s="11"/>
      <c r="E5" s="11"/>
      <c r="F5" s="12">
        <v>200</v>
      </c>
    </row>
    <row r="6" spans="1:6" x14ac:dyDescent="0.25">
      <c r="A6" s="13" t="s">
        <v>297</v>
      </c>
      <c r="B6" s="13"/>
      <c r="C6" s="13"/>
      <c r="D6" s="13"/>
      <c r="E6" s="13"/>
      <c r="F6" s="14">
        <v>200</v>
      </c>
    </row>
    <row r="7" spans="1:6" x14ac:dyDescent="0.25">
      <c r="A7" t="s">
        <v>80</v>
      </c>
      <c r="B7" t="s">
        <v>81</v>
      </c>
      <c r="C7" t="s">
        <v>89</v>
      </c>
      <c r="D7" t="s">
        <v>73</v>
      </c>
      <c r="E7" t="s">
        <v>79</v>
      </c>
      <c r="F7" s="10">
        <v>30</v>
      </c>
    </row>
    <row r="8" spans="1:6" x14ac:dyDescent="0.25">
      <c r="D8" t="s">
        <v>4</v>
      </c>
      <c r="E8" t="s">
        <v>195</v>
      </c>
      <c r="F8" s="10">
        <v>2</v>
      </c>
    </row>
    <row r="9" spans="1:6" x14ac:dyDescent="0.25">
      <c r="C9" s="11" t="s">
        <v>298</v>
      </c>
      <c r="D9" s="11"/>
      <c r="E9" s="11"/>
      <c r="F9" s="12">
        <v>32</v>
      </c>
    </row>
    <row r="10" spans="1:6" x14ac:dyDescent="0.25">
      <c r="C10" t="s">
        <v>85</v>
      </c>
      <c r="D10" t="s">
        <v>73</v>
      </c>
      <c r="E10" t="s">
        <v>79</v>
      </c>
      <c r="F10" s="10">
        <v>30</v>
      </c>
    </row>
    <row r="11" spans="1:6" x14ac:dyDescent="0.25">
      <c r="C11" s="11" t="s">
        <v>299</v>
      </c>
      <c r="D11" s="11"/>
      <c r="E11" s="11"/>
      <c r="F11" s="12">
        <v>30</v>
      </c>
    </row>
    <row r="12" spans="1:6" x14ac:dyDescent="0.25">
      <c r="C12" t="s">
        <v>185</v>
      </c>
      <c r="D12" t="s">
        <v>4</v>
      </c>
      <c r="E12" t="s">
        <v>184</v>
      </c>
      <c r="F12" s="10">
        <v>10</v>
      </c>
    </row>
    <row r="13" spans="1:6" x14ac:dyDescent="0.25">
      <c r="E13" t="s">
        <v>195</v>
      </c>
      <c r="F13" s="10">
        <v>3</v>
      </c>
    </row>
    <row r="14" spans="1:6" x14ac:dyDescent="0.25">
      <c r="C14" s="11" t="s">
        <v>300</v>
      </c>
      <c r="D14" s="11"/>
      <c r="E14" s="11"/>
      <c r="F14" s="12">
        <v>13</v>
      </c>
    </row>
    <row r="15" spans="1:6" x14ac:dyDescent="0.25">
      <c r="C15" t="s">
        <v>139</v>
      </c>
      <c r="D15" t="s">
        <v>134</v>
      </c>
      <c r="E15" t="s">
        <v>138</v>
      </c>
      <c r="F15" s="10">
        <v>38</v>
      </c>
    </row>
    <row r="16" spans="1:6" x14ac:dyDescent="0.25">
      <c r="D16" t="s">
        <v>4</v>
      </c>
      <c r="E16" t="s">
        <v>184</v>
      </c>
      <c r="F16" s="10">
        <v>5</v>
      </c>
    </row>
    <row r="17" spans="1:6" x14ac:dyDescent="0.25">
      <c r="E17" t="s">
        <v>195</v>
      </c>
      <c r="F17" s="10">
        <v>3</v>
      </c>
    </row>
    <row r="18" spans="1:6" x14ac:dyDescent="0.25">
      <c r="C18" s="11" t="s">
        <v>301</v>
      </c>
      <c r="D18" s="11"/>
      <c r="E18" s="11"/>
      <c r="F18" s="12">
        <v>46</v>
      </c>
    </row>
    <row r="19" spans="1:6" x14ac:dyDescent="0.25">
      <c r="C19" t="s">
        <v>86</v>
      </c>
      <c r="D19" t="s">
        <v>73</v>
      </c>
      <c r="E19" t="s">
        <v>79</v>
      </c>
      <c r="F19" s="10">
        <v>30</v>
      </c>
    </row>
    <row r="20" spans="1:6" x14ac:dyDescent="0.25">
      <c r="D20" t="s">
        <v>134</v>
      </c>
      <c r="E20" t="s">
        <v>138</v>
      </c>
      <c r="F20" s="10">
        <v>3</v>
      </c>
    </row>
    <row r="21" spans="1:6" x14ac:dyDescent="0.25">
      <c r="D21" t="s">
        <v>4</v>
      </c>
      <c r="E21" t="s">
        <v>195</v>
      </c>
      <c r="F21" s="10">
        <v>1</v>
      </c>
    </row>
    <row r="22" spans="1:6" x14ac:dyDescent="0.25">
      <c r="C22" s="11" t="s">
        <v>302</v>
      </c>
      <c r="D22" s="11"/>
      <c r="E22" s="11"/>
      <c r="F22" s="12">
        <v>34</v>
      </c>
    </row>
    <row r="23" spans="1:6" x14ac:dyDescent="0.25">
      <c r="C23" t="s">
        <v>82</v>
      </c>
      <c r="D23" t="s">
        <v>73</v>
      </c>
      <c r="E23" t="s">
        <v>79</v>
      </c>
      <c r="F23" s="10">
        <v>30</v>
      </c>
    </row>
    <row r="24" spans="1:6" x14ac:dyDescent="0.25">
      <c r="D24" t="s">
        <v>134</v>
      </c>
      <c r="E24" t="s">
        <v>138</v>
      </c>
      <c r="F24" s="10">
        <v>28</v>
      </c>
    </row>
    <row r="25" spans="1:6" x14ac:dyDescent="0.25">
      <c r="D25" t="s">
        <v>4</v>
      </c>
      <c r="E25" t="s">
        <v>195</v>
      </c>
      <c r="F25" s="10">
        <v>4</v>
      </c>
    </row>
    <row r="26" spans="1:6" x14ac:dyDescent="0.25">
      <c r="C26" s="11" t="s">
        <v>303</v>
      </c>
      <c r="D26" s="11"/>
      <c r="E26" s="11"/>
      <c r="F26" s="12">
        <v>62</v>
      </c>
    </row>
    <row r="27" spans="1:6" x14ac:dyDescent="0.25">
      <c r="C27" t="s">
        <v>146</v>
      </c>
      <c r="D27" t="s">
        <v>4</v>
      </c>
      <c r="E27" t="s">
        <v>195</v>
      </c>
      <c r="F27" s="10">
        <v>3</v>
      </c>
    </row>
    <row r="28" spans="1:6" x14ac:dyDescent="0.25">
      <c r="C28" s="11" t="s">
        <v>304</v>
      </c>
      <c r="D28" s="11"/>
      <c r="E28" s="11"/>
      <c r="F28" s="12">
        <v>3</v>
      </c>
    </row>
    <row r="29" spans="1:6" x14ac:dyDescent="0.25">
      <c r="A29" s="13" t="s">
        <v>305</v>
      </c>
      <c r="B29" s="13"/>
      <c r="C29" s="13"/>
      <c r="D29" s="13"/>
      <c r="E29" s="13"/>
      <c r="F29" s="14">
        <v>220</v>
      </c>
    </row>
    <row r="30" spans="1:6" x14ac:dyDescent="0.25">
      <c r="A30" t="s">
        <v>91</v>
      </c>
      <c r="B30" t="s">
        <v>92</v>
      </c>
      <c r="C30" t="s">
        <v>197</v>
      </c>
      <c r="D30" t="s">
        <v>4</v>
      </c>
      <c r="E30" t="s">
        <v>196</v>
      </c>
      <c r="F30" s="10">
        <v>6</v>
      </c>
    </row>
    <row r="31" spans="1:6" x14ac:dyDescent="0.25">
      <c r="C31" s="11" t="s">
        <v>306</v>
      </c>
      <c r="D31" s="11"/>
      <c r="E31" s="11"/>
      <c r="F31" s="12">
        <v>6</v>
      </c>
    </row>
    <row r="32" spans="1:6" x14ac:dyDescent="0.25">
      <c r="C32" t="s">
        <v>149</v>
      </c>
      <c r="D32" t="s">
        <v>134</v>
      </c>
      <c r="E32" t="s">
        <v>141</v>
      </c>
      <c r="F32" s="10">
        <v>7</v>
      </c>
    </row>
    <row r="33" spans="3:6" x14ac:dyDescent="0.25">
      <c r="C33" s="11" t="s">
        <v>307</v>
      </c>
      <c r="D33" s="11"/>
      <c r="E33" s="11"/>
      <c r="F33" s="12">
        <v>7</v>
      </c>
    </row>
    <row r="34" spans="3:6" x14ac:dyDescent="0.25">
      <c r="C34" t="s">
        <v>145</v>
      </c>
      <c r="D34" t="s">
        <v>134</v>
      </c>
      <c r="E34" t="s">
        <v>141</v>
      </c>
      <c r="F34" s="10">
        <v>27</v>
      </c>
    </row>
    <row r="35" spans="3:6" x14ac:dyDescent="0.25">
      <c r="D35" t="s">
        <v>4</v>
      </c>
      <c r="E35" t="s">
        <v>196</v>
      </c>
      <c r="F35" s="10">
        <v>17</v>
      </c>
    </row>
    <row r="36" spans="3:6" x14ac:dyDescent="0.25">
      <c r="C36" s="11" t="s">
        <v>308</v>
      </c>
      <c r="D36" s="11"/>
      <c r="E36" s="11"/>
      <c r="F36" s="12">
        <v>44</v>
      </c>
    </row>
    <row r="37" spans="3:6" x14ac:dyDescent="0.25">
      <c r="C37" t="s">
        <v>142</v>
      </c>
      <c r="D37" t="s">
        <v>134</v>
      </c>
      <c r="E37" t="s">
        <v>141</v>
      </c>
      <c r="F37" s="10">
        <v>3</v>
      </c>
    </row>
    <row r="38" spans="3:6" x14ac:dyDescent="0.25">
      <c r="D38" t="s">
        <v>4</v>
      </c>
      <c r="E38" t="s">
        <v>196</v>
      </c>
      <c r="F38" s="10">
        <v>19</v>
      </c>
    </row>
    <row r="39" spans="3:6" x14ac:dyDescent="0.25">
      <c r="C39" s="11" t="s">
        <v>309</v>
      </c>
      <c r="D39" s="11"/>
      <c r="E39" s="11"/>
      <c r="F39" s="12">
        <v>22</v>
      </c>
    </row>
    <row r="40" spans="3:6" x14ac:dyDescent="0.25">
      <c r="C40" t="s">
        <v>95</v>
      </c>
      <c r="D40" t="s">
        <v>73</v>
      </c>
      <c r="E40" t="s">
        <v>90</v>
      </c>
      <c r="F40" s="10">
        <v>40</v>
      </c>
    </row>
    <row r="41" spans="3:6" x14ac:dyDescent="0.25">
      <c r="D41" t="s">
        <v>134</v>
      </c>
      <c r="E41" t="s">
        <v>141</v>
      </c>
      <c r="F41" s="10">
        <v>6</v>
      </c>
    </row>
    <row r="42" spans="3:6" x14ac:dyDescent="0.25">
      <c r="E42" t="s">
        <v>164</v>
      </c>
      <c r="F42" s="10">
        <v>3</v>
      </c>
    </row>
    <row r="43" spans="3:6" x14ac:dyDescent="0.25">
      <c r="D43" t="s">
        <v>4</v>
      </c>
      <c r="E43" t="s">
        <v>196</v>
      </c>
      <c r="F43" s="10">
        <v>8</v>
      </c>
    </row>
    <row r="44" spans="3:6" x14ac:dyDescent="0.25">
      <c r="C44" s="11" t="s">
        <v>310</v>
      </c>
      <c r="D44" s="11"/>
      <c r="E44" s="11"/>
      <c r="F44" s="12">
        <v>57</v>
      </c>
    </row>
    <row r="45" spans="3:6" x14ac:dyDescent="0.25">
      <c r="C45" t="s">
        <v>146</v>
      </c>
      <c r="D45" t="s">
        <v>134</v>
      </c>
      <c r="E45" t="s">
        <v>141</v>
      </c>
      <c r="F45" s="10">
        <v>8</v>
      </c>
    </row>
    <row r="46" spans="3:6" x14ac:dyDescent="0.25">
      <c r="E46" t="s">
        <v>164</v>
      </c>
      <c r="F46" s="10">
        <v>3</v>
      </c>
    </row>
    <row r="47" spans="3:6" x14ac:dyDescent="0.25">
      <c r="C47" s="11" t="s">
        <v>304</v>
      </c>
      <c r="D47" s="11"/>
      <c r="E47" s="11"/>
      <c r="F47" s="12">
        <v>11</v>
      </c>
    </row>
    <row r="48" spans="3:6" x14ac:dyDescent="0.25">
      <c r="C48" t="s">
        <v>144</v>
      </c>
      <c r="D48" t="s">
        <v>134</v>
      </c>
      <c r="E48" t="s">
        <v>141</v>
      </c>
      <c r="F48" s="10">
        <v>42</v>
      </c>
    </row>
    <row r="49" spans="1:6" x14ac:dyDescent="0.25">
      <c r="E49" t="s">
        <v>164</v>
      </c>
      <c r="F49" s="10">
        <v>4</v>
      </c>
    </row>
    <row r="50" spans="1:6" x14ac:dyDescent="0.25">
      <c r="D50" t="s">
        <v>4</v>
      </c>
      <c r="E50" t="s">
        <v>196</v>
      </c>
      <c r="F50" s="10">
        <v>13</v>
      </c>
    </row>
    <row r="51" spans="1:6" x14ac:dyDescent="0.25">
      <c r="C51" s="11" t="s">
        <v>311</v>
      </c>
      <c r="D51" s="11"/>
      <c r="E51" s="11"/>
      <c r="F51" s="12">
        <v>59</v>
      </c>
    </row>
    <row r="52" spans="1:6" x14ac:dyDescent="0.25">
      <c r="C52" t="s">
        <v>93</v>
      </c>
      <c r="D52" t="s">
        <v>73</v>
      </c>
      <c r="E52" t="s">
        <v>90</v>
      </c>
      <c r="F52" s="10">
        <v>40</v>
      </c>
    </row>
    <row r="53" spans="1:6" x14ac:dyDescent="0.25">
      <c r="D53" t="s">
        <v>134</v>
      </c>
      <c r="E53" t="s">
        <v>141</v>
      </c>
      <c r="F53" s="10">
        <v>7</v>
      </c>
    </row>
    <row r="54" spans="1:6" x14ac:dyDescent="0.25">
      <c r="E54" t="s">
        <v>164</v>
      </c>
      <c r="F54" s="10">
        <v>4</v>
      </c>
    </row>
    <row r="55" spans="1:6" x14ac:dyDescent="0.25">
      <c r="D55" t="s">
        <v>4</v>
      </c>
      <c r="E55" t="s">
        <v>196</v>
      </c>
      <c r="F55" s="10">
        <v>16</v>
      </c>
    </row>
    <row r="56" spans="1:6" x14ac:dyDescent="0.25">
      <c r="C56" s="11" t="s">
        <v>312</v>
      </c>
      <c r="D56" s="11"/>
      <c r="E56" s="11"/>
      <c r="F56" s="12">
        <v>67</v>
      </c>
    </row>
    <row r="57" spans="1:6" x14ac:dyDescent="0.25">
      <c r="A57" s="13" t="s">
        <v>313</v>
      </c>
      <c r="B57" s="13"/>
      <c r="C57" s="13"/>
      <c r="D57" s="13"/>
      <c r="E57" s="13"/>
      <c r="F57" s="14">
        <v>273</v>
      </c>
    </row>
    <row r="58" spans="1:6" x14ac:dyDescent="0.25">
      <c r="A58" t="s">
        <v>8</v>
      </c>
      <c r="B58" t="s">
        <v>9</v>
      </c>
      <c r="C58" t="s">
        <v>10</v>
      </c>
      <c r="D58" t="s">
        <v>73</v>
      </c>
      <c r="E58" t="s">
        <v>75</v>
      </c>
      <c r="F58" s="10">
        <v>15</v>
      </c>
    </row>
    <row r="59" spans="1:6" x14ac:dyDescent="0.25">
      <c r="D59" t="s">
        <v>120</v>
      </c>
      <c r="E59" t="s">
        <v>122</v>
      </c>
      <c r="F59" s="10">
        <v>35</v>
      </c>
    </row>
    <row r="60" spans="1:6" x14ac:dyDescent="0.25">
      <c r="D60" t="s">
        <v>134</v>
      </c>
      <c r="E60" t="s">
        <v>135</v>
      </c>
      <c r="F60" s="10">
        <v>39</v>
      </c>
    </row>
    <row r="61" spans="1:6" x14ac:dyDescent="0.25">
      <c r="D61" t="s">
        <v>48</v>
      </c>
      <c r="E61" t="s">
        <v>50</v>
      </c>
      <c r="F61" s="10">
        <v>10</v>
      </c>
    </row>
    <row r="62" spans="1:6" x14ac:dyDescent="0.25">
      <c r="D62" t="s">
        <v>4</v>
      </c>
      <c r="E62" t="s">
        <v>194</v>
      </c>
      <c r="F62" s="10">
        <v>47</v>
      </c>
    </row>
    <row r="63" spans="1:6" x14ac:dyDescent="0.25">
      <c r="E63" t="s">
        <v>7</v>
      </c>
      <c r="F63" s="10">
        <v>10</v>
      </c>
    </row>
    <row r="64" spans="1:6" x14ac:dyDescent="0.25">
      <c r="C64" s="11" t="s">
        <v>314</v>
      </c>
      <c r="D64" s="11"/>
      <c r="E64" s="11"/>
      <c r="F64" s="12">
        <v>156</v>
      </c>
    </row>
    <row r="65" spans="1:6" x14ac:dyDescent="0.25">
      <c r="A65" s="13" t="s">
        <v>315</v>
      </c>
      <c r="B65" s="13"/>
      <c r="C65" s="13"/>
      <c r="D65" s="13"/>
      <c r="E65" s="13"/>
      <c r="F65" s="14">
        <v>156</v>
      </c>
    </row>
    <row r="66" spans="1:6" x14ac:dyDescent="0.25">
      <c r="A66" t="s">
        <v>98</v>
      </c>
      <c r="B66" t="s">
        <v>99</v>
      </c>
      <c r="C66" t="s">
        <v>27</v>
      </c>
      <c r="D66" t="s">
        <v>73</v>
      </c>
      <c r="E66" t="s">
        <v>97</v>
      </c>
      <c r="F66" s="10">
        <v>50</v>
      </c>
    </row>
    <row r="67" spans="1:6" x14ac:dyDescent="0.25">
      <c r="D67" t="s">
        <v>4</v>
      </c>
      <c r="E67" t="s">
        <v>198</v>
      </c>
      <c r="F67" s="10">
        <v>41</v>
      </c>
    </row>
    <row r="68" spans="1:6" x14ac:dyDescent="0.25">
      <c r="C68" s="11" t="s">
        <v>316</v>
      </c>
      <c r="D68" s="11"/>
      <c r="E68" s="11"/>
      <c r="F68" s="12">
        <v>91</v>
      </c>
    </row>
    <row r="69" spans="1:6" x14ac:dyDescent="0.25">
      <c r="A69" s="13" t="s">
        <v>317</v>
      </c>
      <c r="B69" s="13"/>
      <c r="C69" s="13"/>
      <c r="D69" s="13"/>
      <c r="E69" s="13"/>
      <c r="F69" s="14">
        <v>91</v>
      </c>
    </row>
    <row r="70" spans="1:6" x14ac:dyDescent="0.25">
      <c r="A70" t="s">
        <v>101</v>
      </c>
      <c r="B70" t="s">
        <v>102</v>
      </c>
      <c r="C70" t="s">
        <v>45</v>
      </c>
      <c r="D70" t="s">
        <v>73</v>
      </c>
      <c r="E70" t="s">
        <v>100</v>
      </c>
      <c r="F70" s="10">
        <v>16</v>
      </c>
    </row>
    <row r="71" spans="1:6" x14ac:dyDescent="0.25">
      <c r="D71" t="s">
        <v>4</v>
      </c>
      <c r="E71" t="s">
        <v>199</v>
      </c>
      <c r="F71" s="10">
        <v>41</v>
      </c>
    </row>
    <row r="72" spans="1:6" x14ac:dyDescent="0.25">
      <c r="C72" s="11" t="s">
        <v>318</v>
      </c>
      <c r="D72" s="11"/>
      <c r="E72" s="11"/>
      <c r="F72" s="12">
        <v>57</v>
      </c>
    </row>
    <row r="73" spans="1:6" x14ac:dyDescent="0.25">
      <c r="A73" s="13" t="s">
        <v>319</v>
      </c>
      <c r="B73" s="13"/>
      <c r="C73" s="13"/>
      <c r="D73" s="13"/>
      <c r="E73" s="13"/>
      <c r="F73" s="14">
        <v>57</v>
      </c>
    </row>
    <row r="74" spans="1:6" x14ac:dyDescent="0.25">
      <c r="A74" t="s">
        <v>42</v>
      </c>
      <c r="B74" t="s">
        <v>43</v>
      </c>
      <c r="C74" t="s">
        <v>45</v>
      </c>
      <c r="D74" t="s">
        <v>73</v>
      </c>
      <c r="E74" t="s">
        <v>114</v>
      </c>
      <c r="F74" s="10">
        <v>20</v>
      </c>
    </row>
    <row r="75" spans="1:6" x14ac:dyDescent="0.25">
      <c r="D75" t="s">
        <v>120</v>
      </c>
      <c r="E75" t="s">
        <v>129</v>
      </c>
      <c r="F75" s="10">
        <v>30</v>
      </c>
    </row>
    <row r="76" spans="1:6" x14ac:dyDescent="0.25">
      <c r="D76" t="s">
        <v>134</v>
      </c>
      <c r="E76" t="s">
        <v>175</v>
      </c>
      <c r="F76" s="10">
        <v>66</v>
      </c>
    </row>
    <row r="77" spans="1:6" x14ac:dyDescent="0.25">
      <c r="D77" t="s">
        <v>48</v>
      </c>
      <c r="E77" t="s">
        <v>61</v>
      </c>
      <c r="F77" s="10">
        <v>16</v>
      </c>
    </row>
    <row r="78" spans="1:6" x14ac:dyDescent="0.25">
      <c r="E78" t="s">
        <v>71</v>
      </c>
      <c r="F78" s="10">
        <v>225</v>
      </c>
    </row>
    <row r="79" spans="1:6" x14ac:dyDescent="0.25">
      <c r="D79" t="s">
        <v>4</v>
      </c>
      <c r="E79" t="s">
        <v>210</v>
      </c>
      <c r="F79" s="10">
        <v>82</v>
      </c>
    </row>
    <row r="80" spans="1:6" x14ac:dyDescent="0.25">
      <c r="E80" t="s">
        <v>41</v>
      </c>
      <c r="F80" s="10">
        <v>10</v>
      </c>
    </row>
    <row r="81" spans="1:6" x14ac:dyDescent="0.25">
      <c r="E81" t="s">
        <v>190</v>
      </c>
      <c r="F81" s="10">
        <v>2</v>
      </c>
    </row>
    <row r="82" spans="1:6" x14ac:dyDescent="0.25">
      <c r="C82" s="11" t="s">
        <v>318</v>
      </c>
      <c r="D82" s="11"/>
      <c r="E82" s="11"/>
      <c r="F82" s="12">
        <v>451</v>
      </c>
    </row>
    <row r="83" spans="1:6" x14ac:dyDescent="0.25">
      <c r="C83" t="s">
        <v>44</v>
      </c>
      <c r="D83" t="s">
        <v>120</v>
      </c>
      <c r="E83" t="s">
        <v>129</v>
      </c>
      <c r="F83" s="10">
        <v>65</v>
      </c>
    </row>
    <row r="84" spans="1:6" x14ac:dyDescent="0.25">
      <c r="D84" t="s">
        <v>4</v>
      </c>
      <c r="E84" t="s">
        <v>210</v>
      </c>
      <c r="F84" s="10">
        <v>55</v>
      </c>
    </row>
    <row r="85" spans="1:6" x14ac:dyDescent="0.25">
      <c r="E85" t="s">
        <v>41</v>
      </c>
      <c r="F85" s="10">
        <v>10</v>
      </c>
    </row>
    <row r="86" spans="1:6" x14ac:dyDescent="0.25">
      <c r="C86" s="11" t="s">
        <v>320</v>
      </c>
      <c r="D86" s="11"/>
      <c r="E86" s="11"/>
      <c r="F86" s="12">
        <v>130</v>
      </c>
    </row>
    <row r="87" spans="1:6" x14ac:dyDescent="0.25">
      <c r="C87" t="s">
        <v>27</v>
      </c>
      <c r="D87" t="s">
        <v>73</v>
      </c>
      <c r="E87" t="s">
        <v>114</v>
      </c>
      <c r="F87" s="10">
        <v>40</v>
      </c>
    </row>
    <row r="88" spans="1:6" x14ac:dyDescent="0.25">
      <c r="D88" t="s">
        <v>134</v>
      </c>
      <c r="E88" t="s">
        <v>151</v>
      </c>
      <c r="F88" s="10">
        <v>121</v>
      </c>
    </row>
    <row r="89" spans="1:6" x14ac:dyDescent="0.25">
      <c r="D89" t="s">
        <v>48</v>
      </c>
      <c r="E89" t="s">
        <v>69</v>
      </c>
      <c r="F89" s="10">
        <v>243</v>
      </c>
    </row>
    <row r="90" spans="1:6" x14ac:dyDescent="0.25">
      <c r="D90" t="s">
        <v>4</v>
      </c>
      <c r="E90" t="s">
        <v>187</v>
      </c>
      <c r="F90" s="10">
        <v>110</v>
      </c>
    </row>
    <row r="91" spans="1:6" x14ac:dyDescent="0.25">
      <c r="C91" s="11" t="s">
        <v>316</v>
      </c>
      <c r="D91" s="11"/>
      <c r="E91" s="11"/>
      <c r="F91" s="12">
        <v>514</v>
      </c>
    </row>
    <row r="92" spans="1:6" x14ac:dyDescent="0.25">
      <c r="A92" s="13" t="s">
        <v>321</v>
      </c>
      <c r="B92" s="13"/>
      <c r="C92" s="13"/>
      <c r="D92" s="13"/>
      <c r="E92" s="13"/>
      <c r="F92" s="14">
        <v>1095</v>
      </c>
    </row>
    <row r="93" spans="1:6" x14ac:dyDescent="0.25">
      <c r="A93" t="s">
        <v>25</v>
      </c>
      <c r="B93" t="s">
        <v>26</v>
      </c>
      <c r="C93" t="s">
        <v>45</v>
      </c>
      <c r="D93" t="s">
        <v>73</v>
      </c>
      <c r="E93" t="s">
        <v>115</v>
      </c>
      <c r="F93" s="10">
        <v>30</v>
      </c>
    </row>
    <row r="94" spans="1:6" x14ac:dyDescent="0.25">
      <c r="D94" t="s">
        <v>120</v>
      </c>
      <c r="E94" t="s">
        <v>130</v>
      </c>
      <c r="F94" s="10">
        <v>35</v>
      </c>
    </row>
    <row r="95" spans="1:6" x14ac:dyDescent="0.25">
      <c r="D95" t="s">
        <v>134</v>
      </c>
      <c r="E95" t="s">
        <v>176</v>
      </c>
      <c r="F95" s="10">
        <v>1</v>
      </c>
    </row>
    <row r="96" spans="1:6" x14ac:dyDescent="0.25">
      <c r="D96" t="s">
        <v>4</v>
      </c>
      <c r="E96" t="s">
        <v>211</v>
      </c>
      <c r="F96" s="10">
        <v>23</v>
      </c>
    </row>
    <row r="97" spans="1:6" x14ac:dyDescent="0.25">
      <c r="E97" t="s">
        <v>46</v>
      </c>
      <c r="F97" s="10">
        <v>10</v>
      </c>
    </row>
    <row r="98" spans="1:6" x14ac:dyDescent="0.25">
      <c r="C98" s="11" t="s">
        <v>318</v>
      </c>
      <c r="D98" s="11"/>
      <c r="E98" s="11"/>
      <c r="F98" s="12">
        <v>99</v>
      </c>
    </row>
    <row r="99" spans="1:6" x14ac:dyDescent="0.25">
      <c r="C99" t="s">
        <v>27</v>
      </c>
      <c r="D99" t="s">
        <v>73</v>
      </c>
      <c r="E99" t="s">
        <v>115</v>
      </c>
      <c r="F99" s="10">
        <v>320</v>
      </c>
    </row>
    <row r="100" spans="1:6" x14ac:dyDescent="0.25">
      <c r="D100" t="s">
        <v>4</v>
      </c>
      <c r="E100" t="s">
        <v>24</v>
      </c>
      <c r="F100" s="10">
        <v>24</v>
      </c>
    </row>
    <row r="101" spans="1:6" x14ac:dyDescent="0.25">
      <c r="E101" t="s">
        <v>211</v>
      </c>
      <c r="F101" s="10">
        <v>54</v>
      </c>
    </row>
    <row r="102" spans="1:6" x14ac:dyDescent="0.25">
      <c r="C102" s="11" t="s">
        <v>316</v>
      </c>
      <c r="D102" s="11"/>
      <c r="E102" s="11"/>
      <c r="F102" s="12">
        <v>398</v>
      </c>
    </row>
    <row r="103" spans="1:6" x14ac:dyDescent="0.25">
      <c r="A103" s="13" t="s">
        <v>322</v>
      </c>
      <c r="B103" s="13"/>
      <c r="C103" s="13"/>
      <c r="D103" s="13"/>
      <c r="E103" s="13"/>
      <c r="F103" s="14">
        <v>497</v>
      </c>
    </row>
    <row r="104" spans="1:6" x14ac:dyDescent="0.25">
      <c r="A104" t="s">
        <v>63</v>
      </c>
      <c r="B104" t="s">
        <v>33</v>
      </c>
      <c r="C104" t="s">
        <v>45</v>
      </c>
      <c r="D104" t="s">
        <v>120</v>
      </c>
      <c r="E104" t="s">
        <v>131</v>
      </c>
      <c r="F104" s="10">
        <v>35</v>
      </c>
    </row>
    <row r="105" spans="1:6" x14ac:dyDescent="0.25">
      <c r="D105" t="s">
        <v>134</v>
      </c>
      <c r="E105" t="s">
        <v>177</v>
      </c>
      <c r="F105" s="10">
        <v>3</v>
      </c>
    </row>
    <row r="106" spans="1:6" x14ac:dyDescent="0.25">
      <c r="E106" t="s">
        <v>178</v>
      </c>
      <c r="F106" s="10">
        <v>66</v>
      </c>
    </row>
    <row r="107" spans="1:6" x14ac:dyDescent="0.25">
      <c r="D107" t="s">
        <v>48</v>
      </c>
      <c r="E107" t="s">
        <v>62</v>
      </c>
      <c r="F107" s="10">
        <v>19</v>
      </c>
    </row>
    <row r="108" spans="1:6" x14ac:dyDescent="0.25">
      <c r="D108" t="s">
        <v>4</v>
      </c>
      <c r="E108" t="s">
        <v>212</v>
      </c>
      <c r="F108" s="10">
        <v>129</v>
      </c>
    </row>
    <row r="109" spans="1:6" x14ac:dyDescent="0.25">
      <c r="E109" t="s">
        <v>191</v>
      </c>
      <c r="F109" s="10">
        <v>5</v>
      </c>
    </row>
    <row r="110" spans="1:6" x14ac:dyDescent="0.25">
      <c r="C110" s="11" t="s">
        <v>318</v>
      </c>
      <c r="D110" s="11"/>
      <c r="E110" s="11"/>
      <c r="F110" s="12">
        <v>257</v>
      </c>
    </row>
    <row r="111" spans="1:6" x14ac:dyDescent="0.25">
      <c r="C111" t="s">
        <v>44</v>
      </c>
      <c r="D111" t="s">
        <v>4</v>
      </c>
      <c r="E111" t="s">
        <v>212</v>
      </c>
      <c r="F111" s="10">
        <v>72</v>
      </c>
    </row>
    <row r="112" spans="1:6" x14ac:dyDescent="0.25">
      <c r="C112" s="11" t="s">
        <v>320</v>
      </c>
      <c r="D112" s="11"/>
      <c r="E112" s="11"/>
      <c r="F112" s="12">
        <v>72</v>
      </c>
    </row>
    <row r="113" spans="1:6" x14ac:dyDescent="0.25">
      <c r="C113" t="s">
        <v>27</v>
      </c>
      <c r="D113" t="s">
        <v>73</v>
      </c>
      <c r="E113" t="s">
        <v>103</v>
      </c>
      <c r="F113" s="10">
        <v>300</v>
      </c>
    </row>
    <row r="114" spans="1:6" x14ac:dyDescent="0.25">
      <c r="D114" t="s">
        <v>4</v>
      </c>
      <c r="E114" t="s">
        <v>212</v>
      </c>
      <c r="F114" s="10">
        <v>60</v>
      </c>
    </row>
    <row r="115" spans="1:6" x14ac:dyDescent="0.25">
      <c r="C115" s="11" t="s">
        <v>316</v>
      </c>
      <c r="D115" s="11"/>
      <c r="E115" s="11"/>
      <c r="F115" s="12">
        <v>360</v>
      </c>
    </row>
    <row r="116" spans="1:6" x14ac:dyDescent="0.25">
      <c r="A116" s="13" t="s">
        <v>323</v>
      </c>
      <c r="B116" s="13"/>
      <c r="C116" s="13"/>
      <c r="D116" s="13"/>
      <c r="E116" s="13"/>
      <c r="F116" s="14">
        <v>689</v>
      </c>
    </row>
    <row r="117" spans="1:6" x14ac:dyDescent="0.25">
      <c r="A117" t="s">
        <v>124</v>
      </c>
      <c r="B117" t="s">
        <v>102</v>
      </c>
      <c r="C117" t="s">
        <v>55</v>
      </c>
      <c r="D117" t="s">
        <v>120</v>
      </c>
      <c r="E117" t="s">
        <v>123</v>
      </c>
      <c r="F117" s="10">
        <v>30</v>
      </c>
    </row>
    <row r="118" spans="1:6" x14ac:dyDescent="0.25">
      <c r="D118" t="s">
        <v>134</v>
      </c>
      <c r="E118" t="s">
        <v>152</v>
      </c>
      <c r="F118" s="10">
        <v>1</v>
      </c>
    </row>
    <row r="119" spans="1:6" x14ac:dyDescent="0.25">
      <c r="D119" t="s">
        <v>4</v>
      </c>
      <c r="E119" t="s">
        <v>200</v>
      </c>
      <c r="F119" s="10">
        <v>44</v>
      </c>
    </row>
    <row r="120" spans="1:6" x14ac:dyDescent="0.25">
      <c r="C120" s="11" t="s">
        <v>324</v>
      </c>
      <c r="D120" s="11"/>
      <c r="E120" s="11"/>
      <c r="F120" s="12">
        <v>75</v>
      </c>
    </row>
    <row r="121" spans="1:6" x14ac:dyDescent="0.25">
      <c r="C121" t="s">
        <v>27</v>
      </c>
      <c r="D121" t="s">
        <v>134</v>
      </c>
      <c r="E121" t="s">
        <v>164</v>
      </c>
      <c r="F121" s="10">
        <v>5</v>
      </c>
    </row>
    <row r="122" spans="1:6" x14ac:dyDescent="0.25">
      <c r="D122" t="s">
        <v>4</v>
      </c>
      <c r="E122" t="s">
        <v>200</v>
      </c>
      <c r="F122" s="10">
        <v>45</v>
      </c>
    </row>
    <row r="123" spans="1:6" x14ac:dyDescent="0.25">
      <c r="C123" s="11" t="s">
        <v>316</v>
      </c>
      <c r="D123" s="11"/>
      <c r="E123" s="11"/>
      <c r="F123" s="12">
        <v>50</v>
      </c>
    </row>
    <row r="124" spans="1:6" x14ac:dyDescent="0.25">
      <c r="A124" s="13" t="s">
        <v>325</v>
      </c>
      <c r="B124" s="13"/>
      <c r="C124" s="13"/>
      <c r="D124" s="13"/>
      <c r="E124" s="13"/>
      <c r="F124" s="14">
        <v>125</v>
      </c>
    </row>
    <row r="125" spans="1:6" x14ac:dyDescent="0.25">
      <c r="A125" t="s">
        <v>154</v>
      </c>
      <c r="B125" t="s">
        <v>92</v>
      </c>
      <c r="C125" t="s">
        <v>95</v>
      </c>
      <c r="D125" t="s">
        <v>134</v>
      </c>
      <c r="E125" t="s">
        <v>164</v>
      </c>
      <c r="F125" s="10">
        <v>8</v>
      </c>
    </row>
    <row r="126" spans="1:6" x14ac:dyDescent="0.25">
      <c r="D126" t="s">
        <v>4</v>
      </c>
      <c r="E126" t="s">
        <v>201</v>
      </c>
      <c r="F126" s="10">
        <v>2</v>
      </c>
    </row>
    <row r="127" spans="1:6" x14ac:dyDescent="0.25">
      <c r="C127" s="11" t="s">
        <v>310</v>
      </c>
      <c r="D127" s="11"/>
      <c r="E127" s="11"/>
      <c r="F127" s="12">
        <v>10</v>
      </c>
    </row>
    <row r="128" spans="1:6" x14ac:dyDescent="0.25">
      <c r="C128" t="s">
        <v>146</v>
      </c>
      <c r="D128" t="s">
        <v>134</v>
      </c>
      <c r="E128" t="s">
        <v>164</v>
      </c>
      <c r="F128" s="10">
        <v>8</v>
      </c>
    </row>
    <row r="129" spans="1:6" x14ac:dyDescent="0.25">
      <c r="D129" t="s">
        <v>4</v>
      </c>
      <c r="E129" t="s">
        <v>201</v>
      </c>
      <c r="F129" s="10">
        <v>1</v>
      </c>
    </row>
    <row r="130" spans="1:6" x14ac:dyDescent="0.25">
      <c r="C130" s="11" t="s">
        <v>304</v>
      </c>
      <c r="D130" s="11"/>
      <c r="E130" s="11"/>
      <c r="F130" s="12">
        <v>9</v>
      </c>
    </row>
    <row r="131" spans="1:6" x14ac:dyDescent="0.25">
      <c r="C131" t="s">
        <v>144</v>
      </c>
      <c r="D131" t="s">
        <v>134</v>
      </c>
      <c r="E131" t="s">
        <v>153</v>
      </c>
      <c r="F131" s="10">
        <v>10</v>
      </c>
    </row>
    <row r="132" spans="1:6" x14ac:dyDescent="0.25">
      <c r="E132" t="s">
        <v>164</v>
      </c>
      <c r="F132" s="10">
        <v>8</v>
      </c>
    </row>
    <row r="133" spans="1:6" x14ac:dyDescent="0.25">
      <c r="D133" t="s">
        <v>4</v>
      </c>
      <c r="E133" t="s">
        <v>201</v>
      </c>
      <c r="F133" s="10">
        <v>2</v>
      </c>
    </row>
    <row r="134" spans="1:6" x14ac:dyDescent="0.25">
      <c r="C134" s="11" t="s">
        <v>311</v>
      </c>
      <c r="D134" s="11"/>
      <c r="E134" s="11"/>
      <c r="F134" s="12">
        <v>20</v>
      </c>
    </row>
    <row r="135" spans="1:6" x14ac:dyDescent="0.25">
      <c r="C135" t="s">
        <v>93</v>
      </c>
      <c r="D135" t="s">
        <v>134</v>
      </c>
      <c r="E135" t="s">
        <v>164</v>
      </c>
      <c r="F135" s="10">
        <v>8</v>
      </c>
    </row>
    <row r="136" spans="1:6" x14ac:dyDescent="0.25">
      <c r="D136" t="s">
        <v>4</v>
      </c>
      <c r="E136" t="s">
        <v>201</v>
      </c>
      <c r="F136" s="10">
        <v>3</v>
      </c>
    </row>
    <row r="137" spans="1:6" x14ac:dyDescent="0.25">
      <c r="C137" s="11" t="s">
        <v>312</v>
      </c>
      <c r="D137" s="11"/>
      <c r="E137" s="11"/>
      <c r="F137" s="12">
        <v>11</v>
      </c>
    </row>
    <row r="138" spans="1:6" x14ac:dyDescent="0.25">
      <c r="A138" s="13" t="s">
        <v>326</v>
      </c>
      <c r="B138" s="13"/>
      <c r="C138" s="13"/>
      <c r="D138" s="13"/>
      <c r="E138" s="13"/>
      <c r="F138" s="14">
        <v>50</v>
      </c>
    </row>
    <row r="139" spans="1:6" x14ac:dyDescent="0.25">
      <c r="A139" t="s">
        <v>105</v>
      </c>
      <c r="B139" t="s">
        <v>106</v>
      </c>
      <c r="C139" t="s">
        <v>173</v>
      </c>
      <c r="D139" t="s">
        <v>134</v>
      </c>
      <c r="E139" t="s">
        <v>164</v>
      </c>
      <c r="F139" s="10">
        <v>6</v>
      </c>
    </row>
    <row r="140" spans="1:6" x14ac:dyDescent="0.25">
      <c r="D140" t="s">
        <v>4</v>
      </c>
      <c r="E140" t="s">
        <v>216</v>
      </c>
      <c r="F140" s="10">
        <v>7</v>
      </c>
    </row>
    <row r="141" spans="1:6" x14ac:dyDescent="0.25">
      <c r="C141" s="11" t="s">
        <v>327</v>
      </c>
      <c r="D141" s="11"/>
      <c r="E141" s="11"/>
      <c r="F141" s="12">
        <v>13</v>
      </c>
    </row>
    <row r="142" spans="1:6" x14ac:dyDescent="0.25">
      <c r="C142" t="s">
        <v>172</v>
      </c>
      <c r="D142" t="s">
        <v>134</v>
      </c>
      <c r="E142" t="s">
        <v>164</v>
      </c>
      <c r="F142" s="10">
        <v>7</v>
      </c>
    </row>
    <row r="143" spans="1:6" x14ac:dyDescent="0.25">
      <c r="E143" t="s">
        <v>179</v>
      </c>
      <c r="F143" s="10">
        <v>3</v>
      </c>
    </row>
    <row r="144" spans="1:6" x14ac:dyDescent="0.25">
      <c r="D144" t="s">
        <v>4</v>
      </c>
      <c r="E144" t="s">
        <v>216</v>
      </c>
      <c r="F144" s="10">
        <v>12</v>
      </c>
    </row>
    <row r="145" spans="1:6" x14ac:dyDescent="0.25">
      <c r="C145" s="11" t="s">
        <v>328</v>
      </c>
      <c r="D145" s="11"/>
      <c r="E145" s="11"/>
      <c r="F145" s="12">
        <v>22</v>
      </c>
    </row>
    <row r="146" spans="1:6" x14ac:dyDescent="0.25">
      <c r="C146" t="s">
        <v>169</v>
      </c>
      <c r="D146" t="s">
        <v>134</v>
      </c>
      <c r="E146" t="s">
        <v>164</v>
      </c>
      <c r="F146" s="10">
        <v>6</v>
      </c>
    </row>
    <row r="147" spans="1:6" x14ac:dyDescent="0.25">
      <c r="D147" t="s">
        <v>4</v>
      </c>
      <c r="E147" t="s">
        <v>216</v>
      </c>
      <c r="F147" s="10">
        <v>9</v>
      </c>
    </row>
    <row r="148" spans="1:6" x14ac:dyDescent="0.25">
      <c r="C148" s="11" t="s">
        <v>329</v>
      </c>
      <c r="D148" s="11"/>
      <c r="E148" s="11"/>
      <c r="F148" s="12">
        <v>15</v>
      </c>
    </row>
    <row r="149" spans="1:6" x14ac:dyDescent="0.25">
      <c r="C149" t="s">
        <v>156</v>
      </c>
      <c r="D149" t="s">
        <v>134</v>
      </c>
      <c r="E149" t="s">
        <v>155</v>
      </c>
      <c r="F149" s="10">
        <v>1</v>
      </c>
    </row>
    <row r="150" spans="1:6" x14ac:dyDescent="0.25">
      <c r="D150" t="s">
        <v>4</v>
      </c>
      <c r="E150" t="s">
        <v>216</v>
      </c>
      <c r="F150" s="10">
        <v>14</v>
      </c>
    </row>
    <row r="151" spans="1:6" x14ac:dyDescent="0.25">
      <c r="C151" s="11" t="s">
        <v>330</v>
      </c>
      <c r="D151" s="11"/>
      <c r="E151" s="11"/>
      <c r="F151" s="12">
        <v>15</v>
      </c>
    </row>
    <row r="152" spans="1:6" x14ac:dyDescent="0.25">
      <c r="C152" t="s">
        <v>107</v>
      </c>
      <c r="D152" t="s">
        <v>73</v>
      </c>
      <c r="E152" t="s">
        <v>104</v>
      </c>
      <c r="F152" s="10">
        <v>1</v>
      </c>
    </row>
    <row r="153" spans="1:6" x14ac:dyDescent="0.25">
      <c r="D153" t="s">
        <v>4</v>
      </c>
      <c r="E153" t="s">
        <v>216</v>
      </c>
      <c r="F153" s="10">
        <v>23</v>
      </c>
    </row>
    <row r="154" spans="1:6" x14ac:dyDescent="0.25">
      <c r="C154" s="11" t="s">
        <v>331</v>
      </c>
      <c r="D154" s="11"/>
      <c r="E154" s="11"/>
      <c r="F154" s="12">
        <v>24</v>
      </c>
    </row>
    <row r="155" spans="1:6" x14ac:dyDescent="0.25">
      <c r="C155" t="s">
        <v>217</v>
      </c>
      <c r="D155" t="s">
        <v>4</v>
      </c>
      <c r="E155" t="s">
        <v>216</v>
      </c>
      <c r="F155" s="10">
        <v>13</v>
      </c>
    </row>
    <row r="156" spans="1:6" x14ac:dyDescent="0.25">
      <c r="C156" s="11" t="s">
        <v>332</v>
      </c>
      <c r="D156" s="11"/>
      <c r="E156" s="11"/>
      <c r="F156" s="12">
        <v>13</v>
      </c>
    </row>
    <row r="157" spans="1:6" x14ac:dyDescent="0.25">
      <c r="A157" s="13" t="s">
        <v>333</v>
      </c>
      <c r="B157" s="13"/>
      <c r="C157" s="13"/>
      <c r="D157" s="13"/>
      <c r="E157" s="13"/>
      <c r="F157" s="14">
        <v>102</v>
      </c>
    </row>
    <row r="158" spans="1:6" x14ac:dyDescent="0.25">
      <c r="A158" t="s">
        <v>53</v>
      </c>
      <c r="B158" t="s">
        <v>54</v>
      </c>
      <c r="C158" t="s">
        <v>55</v>
      </c>
      <c r="D158" t="s">
        <v>134</v>
      </c>
      <c r="E158" t="s">
        <v>158</v>
      </c>
      <c r="F158" s="10">
        <v>30</v>
      </c>
    </row>
    <row r="159" spans="1:6" x14ac:dyDescent="0.25">
      <c r="D159" t="s">
        <v>48</v>
      </c>
      <c r="E159" t="s">
        <v>52</v>
      </c>
      <c r="F159" s="10">
        <v>9</v>
      </c>
    </row>
    <row r="160" spans="1:6" x14ac:dyDescent="0.25">
      <c r="D160" t="s">
        <v>4</v>
      </c>
      <c r="E160" t="s">
        <v>202</v>
      </c>
      <c r="F160" s="10">
        <v>29</v>
      </c>
    </row>
    <row r="161" spans="1:6" x14ac:dyDescent="0.25">
      <c r="E161" t="s">
        <v>187</v>
      </c>
      <c r="F161" s="10">
        <v>3</v>
      </c>
    </row>
    <row r="162" spans="1:6" x14ac:dyDescent="0.25">
      <c r="C162" s="11" t="s">
        <v>324</v>
      </c>
      <c r="D162" s="11"/>
      <c r="E162" s="11"/>
      <c r="F162" s="12">
        <v>71</v>
      </c>
    </row>
    <row r="163" spans="1:6" x14ac:dyDescent="0.25">
      <c r="C163" t="s">
        <v>27</v>
      </c>
      <c r="D163" t="s">
        <v>73</v>
      </c>
      <c r="E163" t="s">
        <v>109</v>
      </c>
      <c r="F163" s="10">
        <v>30</v>
      </c>
    </row>
    <row r="164" spans="1:6" x14ac:dyDescent="0.25">
      <c r="D164" t="s">
        <v>134</v>
      </c>
      <c r="E164" t="s">
        <v>158</v>
      </c>
      <c r="F164" s="10">
        <v>2</v>
      </c>
    </row>
    <row r="165" spans="1:6" x14ac:dyDescent="0.25">
      <c r="D165" t="s">
        <v>48</v>
      </c>
      <c r="E165" t="s">
        <v>70</v>
      </c>
      <c r="F165" s="10">
        <v>1</v>
      </c>
    </row>
    <row r="166" spans="1:6" x14ac:dyDescent="0.25">
      <c r="D166" t="s">
        <v>4</v>
      </c>
      <c r="E166" t="s">
        <v>202</v>
      </c>
      <c r="F166" s="10">
        <v>70</v>
      </c>
    </row>
    <row r="167" spans="1:6" x14ac:dyDescent="0.25">
      <c r="C167" s="11" t="s">
        <v>316</v>
      </c>
      <c r="D167" s="11"/>
      <c r="E167" s="11"/>
      <c r="F167" s="12">
        <v>103</v>
      </c>
    </row>
    <row r="168" spans="1:6" x14ac:dyDescent="0.25">
      <c r="A168" s="13" t="s">
        <v>334</v>
      </c>
      <c r="B168" s="13"/>
      <c r="C168" s="13"/>
      <c r="D168" s="13"/>
      <c r="E168" s="13"/>
      <c r="F168" s="14">
        <v>174</v>
      </c>
    </row>
    <row r="169" spans="1:6" x14ac:dyDescent="0.25">
      <c r="A169" t="s">
        <v>204</v>
      </c>
      <c r="B169" t="s">
        <v>102</v>
      </c>
      <c r="C169" t="s">
        <v>27</v>
      </c>
      <c r="D169" t="s">
        <v>4</v>
      </c>
      <c r="E169" t="s">
        <v>203</v>
      </c>
      <c r="F169" s="10">
        <v>65</v>
      </c>
    </row>
    <row r="170" spans="1:6" x14ac:dyDescent="0.25">
      <c r="C170" s="11" t="s">
        <v>316</v>
      </c>
      <c r="D170" s="11"/>
      <c r="E170" s="11"/>
      <c r="F170" s="12">
        <v>65</v>
      </c>
    </row>
    <row r="171" spans="1:6" x14ac:dyDescent="0.25">
      <c r="A171" s="13" t="s">
        <v>335</v>
      </c>
      <c r="B171" s="13"/>
      <c r="C171" s="13"/>
      <c r="D171" s="13"/>
      <c r="E171" s="13"/>
      <c r="F171" s="14">
        <v>65</v>
      </c>
    </row>
    <row r="172" spans="1:6" x14ac:dyDescent="0.25">
      <c r="A172" t="s">
        <v>126</v>
      </c>
      <c r="B172" t="s">
        <v>43</v>
      </c>
      <c r="C172" t="s">
        <v>10</v>
      </c>
      <c r="D172" t="s">
        <v>120</v>
      </c>
      <c r="E172" t="s">
        <v>125</v>
      </c>
      <c r="F172" s="10">
        <v>30</v>
      </c>
    </row>
    <row r="173" spans="1:6" x14ac:dyDescent="0.25">
      <c r="D173" t="s">
        <v>134</v>
      </c>
      <c r="E173" t="s">
        <v>159</v>
      </c>
      <c r="F173" s="10">
        <v>1</v>
      </c>
    </row>
    <row r="174" spans="1:6" x14ac:dyDescent="0.25">
      <c r="E174" t="s">
        <v>160</v>
      </c>
      <c r="F174" s="10">
        <v>18</v>
      </c>
    </row>
    <row r="175" spans="1:6" x14ac:dyDescent="0.25">
      <c r="D175" t="s">
        <v>4</v>
      </c>
      <c r="E175" t="s">
        <v>205</v>
      </c>
      <c r="F175" s="10">
        <v>52</v>
      </c>
    </row>
    <row r="176" spans="1:6" x14ac:dyDescent="0.25">
      <c r="E176" t="s">
        <v>188</v>
      </c>
      <c r="F176" s="10">
        <v>2</v>
      </c>
    </row>
    <row r="177" spans="1:6" x14ac:dyDescent="0.25">
      <c r="C177" s="11" t="s">
        <v>314</v>
      </c>
      <c r="D177" s="11"/>
      <c r="E177" s="11"/>
      <c r="F177" s="12">
        <v>103</v>
      </c>
    </row>
    <row r="178" spans="1:6" x14ac:dyDescent="0.25">
      <c r="C178" t="s">
        <v>30</v>
      </c>
      <c r="D178" t="s">
        <v>4</v>
      </c>
      <c r="E178" t="s">
        <v>205</v>
      </c>
      <c r="F178" s="10">
        <v>63</v>
      </c>
    </row>
    <row r="179" spans="1:6" x14ac:dyDescent="0.25">
      <c r="E179" t="s">
        <v>188</v>
      </c>
      <c r="F179" s="10">
        <v>2</v>
      </c>
    </row>
    <row r="180" spans="1:6" x14ac:dyDescent="0.25">
      <c r="C180" s="11" t="s">
        <v>336</v>
      </c>
      <c r="D180" s="11"/>
      <c r="E180" s="11"/>
      <c r="F180" s="12">
        <v>65</v>
      </c>
    </row>
    <row r="181" spans="1:6" x14ac:dyDescent="0.25">
      <c r="A181" s="13" t="s">
        <v>337</v>
      </c>
      <c r="B181" s="13"/>
      <c r="C181" s="13"/>
      <c r="D181" s="13"/>
      <c r="E181" s="13"/>
      <c r="F181" s="14">
        <v>168</v>
      </c>
    </row>
    <row r="182" spans="1:6" x14ac:dyDescent="0.25">
      <c r="A182" t="s">
        <v>29</v>
      </c>
      <c r="B182" t="s">
        <v>26</v>
      </c>
      <c r="C182" t="s">
        <v>10</v>
      </c>
      <c r="D182" t="s">
        <v>120</v>
      </c>
      <c r="E182" t="s">
        <v>127</v>
      </c>
      <c r="F182" s="10">
        <v>30</v>
      </c>
    </row>
    <row r="183" spans="1:6" x14ac:dyDescent="0.25">
      <c r="D183" t="s">
        <v>134</v>
      </c>
      <c r="E183" t="s">
        <v>161</v>
      </c>
      <c r="F183" s="10">
        <v>1</v>
      </c>
    </row>
    <row r="184" spans="1:6" x14ac:dyDescent="0.25">
      <c r="E184" t="s">
        <v>162</v>
      </c>
      <c r="F184" s="10">
        <v>39</v>
      </c>
    </row>
    <row r="185" spans="1:6" x14ac:dyDescent="0.25">
      <c r="D185" t="s">
        <v>48</v>
      </c>
      <c r="E185" t="s">
        <v>56</v>
      </c>
      <c r="F185" s="10">
        <v>11</v>
      </c>
    </row>
    <row r="186" spans="1:6" x14ac:dyDescent="0.25">
      <c r="D186" t="s">
        <v>4</v>
      </c>
      <c r="E186" t="s">
        <v>206</v>
      </c>
      <c r="F186" s="10">
        <v>37</v>
      </c>
    </row>
    <row r="187" spans="1:6" x14ac:dyDescent="0.25">
      <c r="C187" s="11" t="s">
        <v>314</v>
      </c>
      <c r="D187" s="11"/>
      <c r="E187" s="11"/>
      <c r="F187" s="12">
        <v>118</v>
      </c>
    </row>
    <row r="188" spans="1:6" x14ac:dyDescent="0.25">
      <c r="C188" t="s">
        <v>30</v>
      </c>
      <c r="D188" t="s">
        <v>73</v>
      </c>
      <c r="E188" t="s">
        <v>110</v>
      </c>
      <c r="F188" s="10">
        <v>50</v>
      </c>
    </row>
    <row r="189" spans="1:6" x14ac:dyDescent="0.25">
      <c r="D189" t="s">
        <v>134</v>
      </c>
      <c r="E189" t="s">
        <v>161</v>
      </c>
      <c r="F189" s="10">
        <v>2</v>
      </c>
    </row>
    <row r="190" spans="1:6" x14ac:dyDescent="0.25">
      <c r="D190" t="s">
        <v>4</v>
      </c>
      <c r="E190" t="s">
        <v>206</v>
      </c>
      <c r="F190" s="10">
        <v>32</v>
      </c>
    </row>
    <row r="191" spans="1:6" x14ac:dyDescent="0.25">
      <c r="E191" t="s">
        <v>28</v>
      </c>
      <c r="F191" s="10">
        <v>10</v>
      </c>
    </row>
    <row r="192" spans="1:6" x14ac:dyDescent="0.25">
      <c r="C192" s="11" t="s">
        <v>336</v>
      </c>
      <c r="D192" s="11"/>
      <c r="E192" s="11"/>
      <c r="F192" s="12">
        <v>94</v>
      </c>
    </row>
    <row r="193" spans="1:6" x14ac:dyDescent="0.25">
      <c r="A193" s="13" t="s">
        <v>338</v>
      </c>
      <c r="B193" s="13"/>
      <c r="C193" s="13"/>
      <c r="D193" s="13"/>
      <c r="E193" s="13"/>
      <c r="F193" s="14">
        <v>212</v>
      </c>
    </row>
    <row r="194" spans="1:6" x14ac:dyDescent="0.25">
      <c r="A194" t="s">
        <v>32</v>
      </c>
      <c r="B194" t="s">
        <v>33</v>
      </c>
      <c r="C194" t="s">
        <v>10</v>
      </c>
      <c r="D194" t="s">
        <v>73</v>
      </c>
      <c r="E194" t="s">
        <v>111</v>
      </c>
      <c r="F194" s="10">
        <v>20</v>
      </c>
    </row>
    <row r="195" spans="1:6" x14ac:dyDescent="0.25">
      <c r="D195" t="s">
        <v>120</v>
      </c>
      <c r="E195" t="s">
        <v>128</v>
      </c>
      <c r="F195" s="10">
        <v>45</v>
      </c>
    </row>
    <row r="196" spans="1:6" x14ac:dyDescent="0.25">
      <c r="D196" t="s">
        <v>134</v>
      </c>
      <c r="E196" t="s">
        <v>164</v>
      </c>
      <c r="F196" s="10">
        <v>36</v>
      </c>
    </row>
    <row r="197" spans="1:6" x14ac:dyDescent="0.25">
      <c r="D197" t="s">
        <v>4</v>
      </c>
      <c r="E197" t="s">
        <v>207</v>
      </c>
      <c r="F197" s="10">
        <v>114</v>
      </c>
    </row>
    <row r="198" spans="1:6" x14ac:dyDescent="0.25">
      <c r="E198" t="s">
        <v>31</v>
      </c>
      <c r="F198" s="10">
        <v>12</v>
      </c>
    </row>
    <row r="199" spans="1:6" x14ac:dyDescent="0.25">
      <c r="E199" t="s">
        <v>189</v>
      </c>
      <c r="F199" s="10">
        <v>3</v>
      </c>
    </row>
    <row r="200" spans="1:6" x14ac:dyDescent="0.25">
      <c r="C200" s="11" t="s">
        <v>314</v>
      </c>
      <c r="D200" s="11"/>
      <c r="E200" s="11"/>
      <c r="F200" s="12">
        <v>230</v>
      </c>
    </row>
    <row r="201" spans="1:6" x14ac:dyDescent="0.25">
      <c r="C201" t="s">
        <v>30</v>
      </c>
      <c r="D201" t="s">
        <v>134</v>
      </c>
      <c r="E201" t="s">
        <v>163</v>
      </c>
      <c r="F201" s="10">
        <v>1</v>
      </c>
    </row>
    <row r="202" spans="1:6" x14ac:dyDescent="0.25">
      <c r="D202" t="s">
        <v>4</v>
      </c>
      <c r="E202" t="s">
        <v>207</v>
      </c>
      <c r="F202" s="10">
        <v>57</v>
      </c>
    </row>
    <row r="203" spans="1:6" x14ac:dyDescent="0.25">
      <c r="E203" t="s">
        <v>31</v>
      </c>
      <c r="F203" s="10">
        <v>10</v>
      </c>
    </row>
    <row r="204" spans="1:6" x14ac:dyDescent="0.25">
      <c r="E204" t="s">
        <v>189</v>
      </c>
      <c r="F204" s="10">
        <v>3</v>
      </c>
    </row>
    <row r="205" spans="1:6" x14ac:dyDescent="0.25">
      <c r="C205" s="11" t="s">
        <v>336</v>
      </c>
      <c r="D205" s="11"/>
      <c r="E205" s="11"/>
      <c r="F205" s="12">
        <v>71</v>
      </c>
    </row>
    <row r="206" spans="1:6" x14ac:dyDescent="0.25">
      <c r="A206" s="13" t="s">
        <v>339</v>
      </c>
      <c r="B206" s="13"/>
      <c r="C206" s="13"/>
      <c r="D206" s="13"/>
      <c r="E206" s="13"/>
      <c r="F206" s="14">
        <v>301</v>
      </c>
    </row>
    <row r="207" spans="1:6" x14ac:dyDescent="0.25">
      <c r="A207" t="s">
        <v>36</v>
      </c>
      <c r="B207" t="s">
        <v>9</v>
      </c>
      <c r="C207" t="s">
        <v>37</v>
      </c>
      <c r="D207" t="s">
        <v>73</v>
      </c>
      <c r="E207" t="s">
        <v>116</v>
      </c>
      <c r="F207" s="10">
        <v>31</v>
      </c>
    </row>
    <row r="208" spans="1:6" x14ac:dyDescent="0.25">
      <c r="D208" t="s">
        <v>134</v>
      </c>
      <c r="E208" t="s">
        <v>180</v>
      </c>
      <c r="F208" s="10">
        <v>66</v>
      </c>
    </row>
    <row r="209" spans="1:6" x14ac:dyDescent="0.25">
      <c r="D209" t="s">
        <v>48</v>
      </c>
      <c r="E209" t="s">
        <v>64</v>
      </c>
      <c r="F209" s="10">
        <v>17</v>
      </c>
    </row>
    <row r="210" spans="1:6" x14ac:dyDescent="0.25">
      <c r="D210" t="s">
        <v>4</v>
      </c>
      <c r="E210" t="s">
        <v>213</v>
      </c>
      <c r="F210" s="10">
        <v>25</v>
      </c>
    </row>
    <row r="211" spans="1:6" x14ac:dyDescent="0.25">
      <c r="E211" t="s">
        <v>35</v>
      </c>
      <c r="F211" s="10">
        <v>10</v>
      </c>
    </row>
    <row r="212" spans="1:6" x14ac:dyDescent="0.25">
      <c r="C212" s="11" t="s">
        <v>340</v>
      </c>
      <c r="D212" s="11"/>
      <c r="E212" s="11"/>
      <c r="F212" s="12">
        <v>149</v>
      </c>
    </row>
    <row r="213" spans="1:6" x14ac:dyDescent="0.25">
      <c r="C213" t="s">
        <v>27</v>
      </c>
      <c r="D213" t="s">
        <v>73</v>
      </c>
      <c r="E213" t="s">
        <v>116</v>
      </c>
      <c r="F213" s="10">
        <v>1</v>
      </c>
    </row>
    <row r="214" spans="1:6" x14ac:dyDescent="0.25">
      <c r="D214" t="s">
        <v>120</v>
      </c>
      <c r="E214" t="s">
        <v>132</v>
      </c>
      <c r="F214" s="10">
        <v>50</v>
      </c>
    </row>
    <row r="215" spans="1:6" x14ac:dyDescent="0.25">
      <c r="D215" t="s">
        <v>4</v>
      </c>
      <c r="E215" t="s">
        <v>213</v>
      </c>
      <c r="F215" s="10">
        <v>54</v>
      </c>
    </row>
    <row r="216" spans="1:6" x14ac:dyDescent="0.25">
      <c r="C216" s="11" t="s">
        <v>316</v>
      </c>
      <c r="D216" s="11"/>
      <c r="E216" s="11"/>
      <c r="F216" s="12">
        <v>105</v>
      </c>
    </row>
    <row r="217" spans="1:6" x14ac:dyDescent="0.25">
      <c r="A217" s="13" t="s">
        <v>341</v>
      </c>
      <c r="B217" s="13"/>
      <c r="C217" s="13"/>
      <c r="D217" s="13"/>
      <c r="E217" s="13"/>
      <c r="F217" s="14">
        <v>254</v>
      </c>
    </row>
    <row r="218" spans="1:6" x14ac:dyDescent="0.25">
      <c r="A218" t="s">
        <v>113</v>
      </c>
      <c r="B218" t="s">
        <v>102</v>
      </c>
      <c r="C218" t="s">
        <v>37</v>
      </c>
      <c r="D218" t="s">
        <v>73</v>
      </c>
      <c r="E218" t="s">
        <v>112</v>
      </c>
      <c r="F218" s="10">
        <v>1</v>
      </c>
    </row>
    <row r="219" spans="1:6" x14ac:dyDescent="0.25">
      <c r="D219" t="s">
        <v>134</v>
      </c>
      <c r="E219" t="s">
        <v>164</v>
      </c>
      <c r="F219" s="10">
        <v>1</v>
      </c>
    </row>
    <row r="220" spans="1:6" x14ac:dyDescent="0.25">
      <c r="D220" t="s">
        <v>4</v>
      </c>
      <c r="E220" t="s">
        <v>208</v>
      </c>
      <c r="F220" s="10">
        <v>48</v>
      </c>
    </row>
    <row r="221" spans="1:6" x14ac:dyDescent="0.25">
      <c r="C221" s="11" t="s">
        <v>340</v>
      </c>
      <c r="D221" s="11"/>
      <c r="E221" s="11"/>
      <c r="F221" s="12">
        <v>50</v>
      </c>
    </row>
    <row r="222" spans="1:6" x14ac:dyDescent="0.25">
      <c r="A222" s="13" t="s">
        <v>342</v>
      </c>
      <c r="B222" s="13"/>
      <c r="C222" s="13"/>
      <c r="D222" s="13"/>
      <c r="E222" s="13"/>
      <c r="F222" s="14">
        <v>50</v>
      </c>
    </row>
    <row r="223" spans="1:6" x14ac:dyDescent="0.25">
      <c r="A223" t="s">
        <v>66</v>
      </c>
      <c r="B223" t="s">
        <v>43</v>
      </c>
      <c r="C223" t="s">
        <v>37</v>
      </c>
      <c r="D223" t="s">
        <v>73</v>
      </c>
      <c r="E223" t="s">
        <v>117</v>
      </c>
      <c r="F223" s="10">
        <v>1</v>
      </c>
    </row>
    <row r="224" spans="1:6" x14ac:dyDescent="0.25">
      <c r="D224" t="s">
        <v>134</v>
      </c>
      <c r="E224" t="s">
        <v>181</v>
      </c>
      <c r="F224" s="10">
        <v>73</v>
      </c>
    </row>
    <row r="225" spans="1:6" x14ac:dyDescent="0.25">
      <c r="D225" t="s">
        <v>48</v>
      </c>
      <c r="E225" t="s">
        <v>65</v>
      </c>
      <c r="F225" s="10">
        <v>19</v>
      </c>
    </row>
    <row r="226" spans="1:6" x14ac:dyDescent="0.25">
      <c r="D226" t="s">
        <v>4</v>
      </c>
      <c r="E226" t="s">
        <v>214</v>
      </c>
      <c r="F226" s="10">
        <v>48</v>
      </c>
    </row>
    <row r="227" spans="1:6" x14ac:dyDescent="0.25">
      <c r="C227" s="11" t="s">
        <v>340</v>
      </c>
      <c r="D227" s="11"/>
      <c r="E227" s="11"/>
      <c r="F227" s="12">
        <v>141</v>
      </c>
    </row>
    <row r="228" spans="1:6" x14ac:dyDescent="0.25">
      <c r="A228" s="13" t="s">
        <v>343</v>
      </c>
      <c r="B228" s="13"/>
      <c r="C228" s="13"/>
      <c r="D228" s="13"/>
      <c r="E228" s="13"/>
      <c r="F228" s="14">
        <v>141</v>
      </c>
    </row>
    <row r="229" spans="1:6" x14ac:dyDescent="0.25">
      <c r="A229" t="s">
        <v>39</v>
      </c>
      <c r="B229" t="s">
        <v>33</v>
      </c>
      <c r="C229" t="s">
        <v>37</v>
      </c>
      <c r="D229" t="s">
        <v>73</v>
      </c>
      <c r="E229" t="s">
        <v>118</v>
      </c>
      <c r="F229" s="10">
        <v>1</v>
      </c>
    </row>
    <row r="230" spans="1:6" x14ac:dyDescent="0.25">
      <c r="D230" t="s">
        <v>134</v>
      </c>
      <c r="E230" t="s">
        <v>182</v>
      </c>
      <c r="F230" s="10">
        <v>75</v>
      </c>
    </row>
    <row r="231" spans="1:6" x14ac:dyDescent="0.25">
      <c r="D231" t="s">
        <v>48</v>
      </c>
      <c r="E231" t="s">
        <v>67</v>
      </c>
      <c r="F231" s="10">
        <v>19</v>
      </c>
    </row>
    <row r="232" spans="1:6" x14ac:dyDescent="0.25">
      <c r="D232" t="s">
        <v>4</v>
      </c>
      <c r="E232" t="s">
        <v>215</v>
      </c>
      <c r="F232" s="10">
        <v>86</v>
      </c>
    </row>
    <row r="233" spans="1:6" x14ac:dyDescent="0.25">
      <c r="E233" t="s">
        <v>38</v>
      </c>
      <c r="F233" s="10">
        <v>17</v>
      </c>
    </row>
    <row r="234" spans="1:6" x14ac:dyDescent="0.25">
      <c r="E234" t="s">
        <v>192</v>
      </c>
      <c r="F234" s="10">
        <v>2</v>
      </c>
    </row>
    <row r="235" spans="1:6" x14ac:dyDescent="0.25">
      <c r="C235" s="11" t="s">
        <v>340</v>
      </c>
      <c r="D235" s="11"/>
      <c r="E235" s="11"/>
      <c r="F235" s="12">
        <v>200</v>
      </c>
    </row>
    <row r="236" spans="1:6" x14ac:dyDescent="0.25">
      <c r="A236" s="13" t="s">
        <v>344</v>
      </c>
      <c r="B236" s="13"/>
      <c r="C236" s="13"/>
      <c r="D236" s="13"/>
      <c r="E236" s="13"/>
      <c r="F236" s="14">
        <v>200</v>
      </c>
    </row>
    <row r="237" spans="1:6" x14ac:dyDescent="0.25">
      <c r="A237" t="s">
        <v>58</v>
      </c>
      <c r="B237" t="s">
        <v>59</v>
      </c>
      <c r="C237" t="s">
        <v>60</v>
      </c>
      <c r="D237" t="s">
        <v>134</v>
      </c>
      <c r="E237" t="s">
        <v>174</v>
      </c>
      <c r="F237" s="10">
        <v>24</v>
      </c>
    </row>
    <row r="238" spans="1:6" x14ac:dyDescent="0.25">
      <c r="D238" t="s">
        <v>48</v>
      </c>
      <c r="E238" t="s">
        <v>57</v>
      </c>
      <c r="F238" s="10">
        <v>8</v>
      </c>
    </row>
    <row r="239" spans="1:6" x14ac:dyDescent="0.25">
      <c r="D239" t="s">
        <v>4</v>
      </c>
      <c r="E239" t="s">
        <v>209</v>
      </c>
      <c r="F239" s="10">
        <v>22</v>
      </c>
    </row>
    <row r="240" spans="1:6" x14ac:dyDescent="0.25">
      <c r="C240" s="11" t="s">
        <v>345</v>
      </c>
      <c r="D240" s="11"/>
      <c r="E240" s="11"/>
      <c r="F240" s="12">
        <v>54</v>
      </c>
    </row>
    <row r="241" spans="1:6" x14ac:dyDescent="0.25">
      <c r="A241" s="13" t="s">
        <v>346</v>
      </c>
      <c r="B241" s="13"/>
      <c r="C241" s="13"/>
      <c r="D241" s="13"/>
      <c r="E241" s="13"/>
      <c r="F241" s="14">
        <v>54</v>
      </c>
    </row>
    <row r="242" spans="1:6" x14ac:dyDescent="0.25">
      <c r="A242" t="s">
        <v>293</v>
      </c>
      <c r="F242" s="10">
        <v>5174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7E81-3604-4F1C-8BFB-AE1C1D6C076F}">
  <dimension ref="A3:D40"/>
  <sheetViews>
    <sheetView workbookViewId="0">
      <selection activeCell="A45" sqref="A45"/>
    </sheetView>
  </sheetViews>
  <sheetFormatPr baseColWidth="10" defaultRowHeight="12.5" x14ac:dyDescent="0.25"/>
  <cols>
    <col min="1" max="1" width="25.54296875" bestFit="1" customWidth="1"/>
    <col min="2" max="2" width="21.36328125" bestFit="1" customWidth="1"/>
    <col min="3" max="3" width="28.7265625" bestFit="1" customWidth="1"/>
  </cols>
  <sheetData>
    <row r="3" spans="1:4" ht="13" x14ac:dyDescent="0.3">
      <c r="A3" s="8" t="s">
        <v>256</v>
      </c>
      <c r="B3" s="8" t="s">
        <v>227</v>
      </c>
      <c r="C3" t="s">
        <v>294</v>
      </c>
      <c r="D3" s="9" t="s">
        <v>295</v>
      </c>
    </row>
    <row r="4" spans="1:4" x14ac:dyDescent="0.25">
      <c r="A4" t="s">
        <v>257</v>
      </c>
      <c r="B4" t="s">
        <v>43</v>
      </c>
      <c r="C4" s="10">
        <v>200</v>
      </c>
    </row>
    <row r="5" spans="1:4" x14ac:dyDescent="0.25">
      <c r="A5" t="s">
        <v>258</v>
      </c>
      <c r="B5" t="s">
        <v>81</v>
      </c>
      <c r="C5" s="10">
        <v>121</v>
      </c>
    </row>
    <row r="6" spans="1:4" x14ac:dyDescent="0.25">
      <c r="A6" t="s">
        <v>259</v>
      </c>
      <c r="B6" t="s">
        <v>81</v>
      </c>
      <c r="C6" s="10">
        <v>99</v>
      </c>
    </row>
    <row r="7" spans="1:4" x14ac:dyDescent="0.25">
      <c r="A7" t="s">
        <v>260</v>
      </c>
      <c r="B7" t="s">
        <v>92</v>
      </c>
      <c r="C7" s="10">
        <v>79</v>
      </c>
    </row>
    <row r="8" spans="1:4" x14ac:dyDescent="0.25">
      <c r="A8" t="s">
        <v>261</v>
      </c>
      <c r="B8" t="s">
        <v>92</v>
      </c>
      <c r="C8" s="10">
        <v>194</v>
      </c>
    </row>
    <row r="9" spans="1:4" x14ac:dyDescent="0.25">
      <c r="A9" t="s">
        <v>262</v>
      </c>
      <c r="B9" t="s">
        <v>9</v>
      </c>
      <c r="C9" s="10">
        <v>156</v>
      </c>
    </row>
    <row r="10" spans="1:4" x14ac:dyDescent="0.25">
      <c r="A10" t="s">
        <v>263</v>
      </c>
      <c r="B10" t="s">
        <v>99</v>
      </c>
      <c r="C10" s="10">
        <v>91</v>
      </c>
    </row>
    <row r="11" spans="1:4" x14ac:dyDescent="0.25">
      <c r="A11" t="s">
        <v>264</v>
      </c>
      <c r="B11" t="s">
        <v>102</v>
      </c>
      <c r="C11" s="10">
        <v>57</v>
      </c>
    </row>
    <row r="12" spans="1:4" x14ac:dyDescent="0.25">
      <c r="A12" t="s">
        <v>265</v>
      </c>
      <c r="B12" t="s">
        <v>43</v>
      </c>
      <c r="C12" s="10">
        <v>451</v>
      </c>
    </row>
    <row r="13" spans="1:4" x14ac:dyDescent="0.25">
      <c r="A13" t="s">
        <v>266</v>
      </c>
      <c r="B13" t="s">
        <v>43</v>
      </c>
      <c r="C13" s="10">
        <v>130</v>
      </c>
    </row>
    <row r="14" spans="1:4" x14ac:dyDescent="0.25">
      <c r="A14" t="s">
        <v>267</v>
      </c>
      <c r="B14" t="s">
        <v>43</v>
      </c>
      <c r="C14" s="10">
        <v>514</v>
      </c>
    </row>
    <row r="15" spans="1:4" x14ac:dyDescent="0.25">
      <c r="A15" t="s">
        <v>268</v>
      </c>
      <c r="B15" t="s">
        <v>26</v>
      </c>
      <c r="C15" s="10">
        <v>99</v>
      </c>
    </row>
    <row r="16" spans="1:4" x14ac:dyDescent="0.25">
      <c r="A16" t="s">
        <v>269</v>
      </c>
      <c r="B16" t="s">
        <v>26</v>
      </c>
      <c r="C16" s="10">
        <v>398</v>
      </c>
    </row>
    <row r="17" spans="1:3" x14ac:dyDescent="0.25">
      <c r="A17" t="s">
        <v>270</v>
      </c>
      <c r="B17" t="s">
        <v>33</v>
      </c>
      <c r="C17" s="10">
        <v>257</v>
      </c>
    </row>
    <row r="18" spans="1:3" x14ac:dyDescent="0.25">
      <c r="A18" t="s">
        <v>271</v>
      </c>
      <c r="B18" t="s">
        <v>33</v>
      </c>
      <c r="C18" s="10">
        <v>72</v>
      </c>
    </row>
    <row r="19" spans="1:3" x14ac:dyDescent="0.25">
      <c r="A19" t="s">
        <v>272</v>
      </c>
      <c r="B19" t="s">
        <v>33</v>
      </c>
      <c r="C19" s="10">
        <v>360</v>
      </c>
    </row>
    <row r="20" spans="1:3" x14ac:dyDescent="0.25">
      <c r="A20" t="s">
        <v>273</v>
      </c>
      <c r="B20" t="s">
        <v>102</v>
      </c>
      <c r="C20" s="10">
        <v>75</v>
      </c>
    </row>
    <row r="21" spans="1:3" x14ac:dyDescent="0.25">
      <c r="A21" t="s">
        <v>274</v>
      </c>
      <c r="B21" t="s">
        <v>102</v>
      </c>
      <c r="C21" s="10">
        <v>50</v>
      </c>
    </row>
    <row r="22" spans="1:3" x14ac:dyDescent="0.25">
      <c r="A22" t="s">
        <v>275</v>
      </c>
      <c r="B22" t="s">
        <v>92</v>
      </c>
      <c r="C22" s="10">
        <v>50</v>
      </c>
    </row>
    <row r="23" spans="1:3" x14ac:dyDescent="0.25">
      <c r="A23" t="s">
        <v>276</v>
      </c>
      <c r="B23" t="s">
        <v>106</v>
      </c>
      <c r="C23" s="10">
        <v>50</v>
      </c>
    </row>
    <row r="24" spans="1:3" x14ac:dyDescent="0.25">
      <c r="A24" t="s">
        <v>277</v>
      </c>
      <c r="B24" t="s">
        <v>106</v>
      </c>
      <c r="C24" s="10">
        <v>52</v>
      </c>
    </row>
    <row r="25" spans="1:3" x14ac:dyDescent="0.25">
      <c r="A25" t="s">
        <v>278</v>
      </c>
      <c r="B25" t="s">
        <v>54</v>
      </c>
      <c r="C25" s="10">
        <v>71</v>
      </c>
    </row>
    <row r="26" spans="1:3" x14ac:dyDescent="0.25">
      <c r="A26" t="s">
        <v>279</v>
      </c>
      <c r="B26" t="s">
        <v>54</v>
      </c>
      <c r="C26" s="10">
        <v>103</v>
      </c>
    </row>
    <row r="27" spans="1:3" x14ac:dyDescent="0.25">
      <c r="A27" t="s">
        <v>280</v>
      </c>
      <c r="B27" t="s">
        <v>102</v>
      </c>
      <c r="C27" s="10">
        <v>65</v>
      </c>
    </row>
    <row r="28" spans="1:3" x14ac:dyDescent="0.25">
      <c r="A28" t="s">
        <v>281</v>
      </c>
      <c r="B28" t="s">
        <v>43</v>
      </c>
      <c r="C28" s="10">
        <v>103</v>
      </c>
    </row>
    <row r="29" spans="1:3" x14ac:dyDescent="0.25">
      <c r="A29" t="s">
        <v>282</v>
      </c>
      <c r="B29" t="s">
        <v>43</v>
      </c>
      <c r="C29" s="10">
        <v>65</v>
      </c>
    </row>
    <row r="30" spans="1:3" x14ac:dyDescent="0.25">
      <c r="A30" t="s">
        <v>283</v>
      </c>
      <c r="B30" t="s">
        <v>26</v>
      </c>
      <c r="C30" s="10">
        <v>118</v>
      </c>
    </row>
    <row r="31" spans="1:3" x14ac:dyDescent="0.25">
      <c r="A31" t="s">
        <v>284</v>
      </c>
      <c r="B31" t="s">
        <v>26</v>
      </c>
      <c r="C31" s="10">
        <v>94</v>
      </c>
    </row>
    <row r="32" spans="1:3" x14ac:dyDescent="0.25">
      <c r="A32" t="s">
        <v>285</v>
      </c>
      <c r="B32" t="s">
        <v>33</v>
      </c>
      <c r="C32" s="10">
        <v>230</v>
      </c>
    </row>
    <row r="33" spans="1:3" x14ac:dyDescent="0.25">
      <c r="A33" t="s">
        <v>286</v>
      </c>
      <c r="B33" t="s">
        <v>33</v>
      </c>
      <c r="C33" s="10">
        <v>71</v>
      </c>
    </row>
    <row r="34" spans="1:3" x14ac:dyDescent="0.25">
      <c r="A34" t="s">
        <v>287</v>
      </c>
      <c r="B34" t="s">
        <v>9</v>
      </c>
      <c r="C34" s="10">
        <v>149</v>
      </c>
    </row>
    <row r="35" spans="1:3" x14ac:dyDescent="0.25">
      <c r="A35" t="s">
        <v>288</v>
      </c>
      <c r="B35" t="s">
        <v>9</v>
      </c>
      <c r="C35" s="10">
        <v>105</v>
      </c>
    </row>
    <row r="36" spans="1:3" x14ac:dyDescent="0.25">
      <c r="A36" t="s">
        <v>289</v>
      </c>
      <c r="B36" t="s">
        <v>102</v>
      </c>
      <c r="C36" s="10">
        <v>50</v>
      </c>
    </row>
    <row r="37" spans="1:3" x14ac:dyDescent="0.25">
      <c r="A37" t="s">
        <v>290</v>
      </c>
      <c r="B37" t="s">
        <v>43</v>
      </c>
      <c r="C37" s="10">
        <v>141</v>
      </c>
    </row>
    <row r="38" spans="1:3" x14ac:dyDescent="0.25">
      <c r="A38" t="s">
        <v>291</v>
      </c>
      <c r="B38" t="s">
        <v>33</v>
      </c>
      <c r="C38" s="10">
        <v>200</v>
      </c>
    </row>
    <row r="39" spans="1:3" x14ac:dyDescent="0.25">
      <c r="A39" t="s">
        <v>292</v>
      </c>
      <c r="B39" t="s">
        <v>59</v>
      </c>
      <c r="C39" s="10">
        <v>54</v>
      </c>
    </row>
    <row r="40" spans="1:3" x14ac:dyDescent="0.25">
      <c r="A40" t="s">
        <v>293</v>
      </c>
      <c r="C40" s="10">
        <v>5174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63"/>
  <sheetViews>
    <sheetView zoomScale="80" zoomScaleNormal="80" workbookViewId="0"/>
  </sheetViews>
  <sheetFormatPr baseColWidth="10" defaultColWidth="8.7265625" defaultRowHeight="12.5" x14ac:dyDescent="0.25"/>
  <cols>
    <col min="1" max="1" width="5" bestFit="1" customWidth="1"/>
    <col min="2" max="2" width="12" bestFit="1" customWidth="1"/>
    <col min="3" max="3" width="18" bestFit="1" customWidth="1"/>
    <col min="4" max="4" width="17" bestFit="1" customWidth="1"/>
    <col min="5" max="5" width="13" bestFit="1" customWidth="1"/>
    <col min="6" max="6" width="11" bestFit="1" customWidth="1"/>
    <col min="7" max="7" width="30" bestFit="1" customWidth="1"/>
    <col min="8" max="8" width="30" customWidth="1"/>
    <col min="9" max="9" width="18" bestFit="1" customWidth="1"/>
    <col min="10" max="10" width="14" bestFit="1" customWidth="1"/>
    <col min="11" max="11" width="26" bestFit="1" customWidth="1"/>
    <col min="12" max="12" width="10" bestFit="1" customWidth="1"/>
    <col min="13" max="13" width="9" bestFit="1" customWidth="1"/>
    <col min="14" max="14" width="8" bestFit="1" customWidth="1"/>
    <col min="15" max="15" width="16" bestFit="1" customWidth="1"/>
    <col min="16" max="16" width="10" bestFit="1" customWidth="1"/>
    <col min="17" max="17" width="21" bestFit="1" customWidth="1"/>
    <col min="18" max="18" width="7" bestFit="1" customWidth="1"/>
    <col min="19" max="19" width="18" bestFit="1" customWidth="1"/>
    <col min="20" max="20" width="9" bestFit="1" customWidth="1"/>
    <col min="21" max="21" width="8" bestFit="1" customWidth="1"/>
    <col min="22" max="23" width="6" bestFit="1" customWidth="1"/>
    <col min="24" max="24" width="13" bestFit="1" customWidth="1"/>
    <col min="25" max="25" width="10" bestFit="1" customWidth="1"/>
    <col min="26" max="26" width="9" bestFit="1" customWidth="1"/>
    <col min="27" max="27" width="13" bestFit="1" customWidth="1"/>
    <col min="28" max="28" width="7" bestFit="1" customWidth="1"/>
    <col min="29" max="29" width="8" bestFit="1" customWidth="1"/>
    <col min="30" max="30" width="13" bestFit="1" customWidth="1"/>
    <col min="31" max="31" width="10" bestFit="1" customWidth="1"/>
    <col min="32" max="33" width="14" bestFit="1" customWidth="1"/>
    <col min="34" max="34" width="8" bestFit="1" customWidth="1"/>
    <col min="35" max="35" width="21" bestFit="1" customWidth="1"/>
    <col min="36" max="36" width="15" bestFit="1" customWidth="1"/>
    <col min="37" max="37" width="13" bestFit="1" customWidth="1"/>
    <col min="38" max="39" width="23" bestFit="1" customWidth="1"/>
    <col min="40" max="40" width="6" bestFit="1" customWidth="1"/>
  </cols>
  <sheetData>
    <row r="1" spans="1:40" ht="50" x14ac:dyDescent="0.25">
      <c r="A1" s="6" t="s">
        <v>218</v>
      </c>
      <c r="B1" s="1" t="s">
        <v>219</v>
      </c>
      <c r="C1" s="1" t="s">
        <v>220</v>
      </c>
      <c r="D1" s="1" t="s">
        <v>221</v>
      </c>
      <c r="E1" s="6" t="s">
        <v>222</v>
      </c>
      <c r="F1" s="6" t="s">
        <v>223</v>
      </c>
      <c r="G1" s="1" t="s">
        <v>224</v>
      </c>
      <c r="H1" s="7" t="s">
        <v>256</v>
      </c>
      <c r="I1" s="1" t="s">
        <v>225</v>
      </c>
      <c r="J1" s="1" t="s">
        <v>226</v>
      </c>
      <c r="K1" s="1" t="s">
        <v>227</v>
      </c>
      <c r="L1" s="1" t="s">
        <v>228</v>
      </c>
      <c r="M1" s="6" t="s">
        <v>229</v>
      </c>
      <c r="N1" s="6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6" t="s">
        <v>236</v>
      </c>
      <c r="U1" s="1" t="s">
        <v>237</v>
      </c>
      <c r="V1" s="6" t="s">
        <v>238</v>
      </c>
      <c r="W1" s="6" t="s">
        <v>239</v>
      </c>
      <c r="X1" s="6" t="s">
        <v>240</v>
      </c>
      <c r="Y1" s="1" t="s">
        <v>241</v>
      </c>
      <c r="Z1" s="1" t="s">
        <v>242</v>
      </c>
      <c r="AA1" s="1" t="s">
        <v>243</v>
      </c>
      <c r="AB1" s="1" t="s">
        <v>244</v>
      </c>
      <c r="AC1" s="1" t="s">
        <v>245</v>
      </c>
      <c r="AD1" s="6" t="s">
        <v>246</v>
      </c>
      <c r="AE1" s="6" t="s">
        <v>247</v>
      </c>
      <c r="AF1" s="6" t="s">
        <v>248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254</v>
      </c>
      <c r="AN1" s="6" t="s">
        <v>255</v>
      </c>
    </row>
    <row r="2" spans="1:4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tr">
        <f>J2&amp;LEFT(N2,3)</f>
        <v>PXBMW-F63034FAB</v>
      </c>
      <c r="I2" t="s">
        <v>7</v>
      </c>
      <c r="J2" t="s">
        <v>8</v>
      </c>
      <c r="K2" t="s">
        <v>9</v>
      </c>
      <c r="L2" s="2">
        <v>1</v>
      </c>
      <c r="M2" s="3">
        <v>10</v>
      </c>
      <c r="N2" t="s">
        <v>10</v>
      </c>
      <c r="O2" s="4">
        <v>46356</v>
      </c>
      <c r="P2" t="s">
        <v>11</v>
      </c>
      <c r="Q2" t="s">
        <v>2</v>
      </c>
      <c r="R2" t="s">
        <v>12</v>
      </c>
      <c r="S2" s="4">
        <v>46226</v>
      </c>
      <c r="T2" t="s">
        <v>13</v>
      </c>
      <c r="U2" t="s">
        <v>2</v>
      </c>
      <c r="V2" t="s">
        <v>14</v>
      </c>
      <c r="W2" t="s">
        <v>15</v>
      </c>
      <c r="X2" t="s">
        <v>16</v>
      </c>
      <c r="Y2" t="s">
        <v>17</v>
      </c>
      <c r="Z2" t="s">
        <v>17</v>
      </c>
      <c r="AA2" t="s">
        <v>18</v>
      </c>
      <c r="AB2" t="s">
        <v>19</v>
      </c>
      <c r="AC2" t="s">
        <v>20</v>
      </c>
      <c r="AD2" t="s">
        <v>12</v>
      </c>
      <c r="AE2" t="s">
        <v>21</v>
      </c>
      <c r="AF2" s="5">
        <v>1</v>
      </c>
      <c r="AG2" s="2">
        <v>10</v>
      </c>
      <c r="AH2" t="s">
        <v>22</v>
      </c>
      <c r="AI2" s="4">
        <v>46356</v>
      </c>
      <c r="AJ2" s="4">
        <v>46359</v>
      </c>
      <c r="AK2" s="4">
        <v>46226</v>
      </c>
      <c r="AL2" t="s">
        <v>2</v>
      </c>
      <c r="AM2" t="s">
        <v>2</v>
      </c>
      <c r="AN2" t="s">
        <v>23</v>
      </c>
    </row>
    <row r="3" spans="1:4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tr">
        <f t="shared" ref="H3:H66" si="0">J3&amp;LEFT(N3,3)</f>
        <v>PXCBC-F67043LZZ</v>
      </c>
      <c r="I3" t="s">
        <v>24</v>
      </c>
      <c r="J3" t="s">
        <v>25</v>
      </c>
      <c r="K3" t="s">
        <v>26</v>
      </c>
      <c r="L3" s="2">
        <v>66.680000000000007</v>
      </c>
      <c r="M3" s="3">
        <v>24</v>
      </c>
      <c r="N3" t="s">
        <v>27</v>
      </c>
      <c r="O3" s="4">
        <v>46356</v>
      </c>
      <c r="P3" t="s">
        <v>11</v>
      </c>
      <c r="Q3" t="s">
        <v>2</v>
      </c>
      <c r="R3" t="s">
        <v>12</v>
      </c>
      <c r="S3" s="4">
        <v>46227</v>
      </c>
      <c r="T3" t="s">
        <v>13</v>
      </c>
      <c r="U3" t="s">
        <v>2</v>
      </c>
      <c r="V3" t="s">
        <v>14</v>
      </c>
      <c r="W3" t="s">
        <v>15</v>
      </c>
      <c r="X3" t="s">
        <v>16</v>
      </c>
      <c r="Y3" t="s">
        <v>17</v>
      </c>
      <c r="Z3" t="s">
        <v>17</v>
      </c>
      <c r="AA3" t="s">
        <v>18</v>
      </c>
      <c r="AB3" t="s">
        <v>19</v>
      </c>
      <c r="AC3" t="s">
        <v>20</v>
      </c>
      <c r="AD3" t="s">
        <v>12</v>
      </c>
      <c r="AE3" t="s">
        <v>21</v>
      </c>
      <c r="AF3" s="5">
        <v>66.680000000000007</v>
      </c>
      <c r="AG3" s="2">
        <v>1600.32</v>
      </c>
      <c r="AH3" t="s">
        <v>22</v>
      </c>
      <c r="AI3" s="4">
        <v>46356</v>
      </c>
      <c r="AJ3" s="4">
        <v>46359</v>
      </c>
      <c r="AK3" s="4">
        <v>46227</v>
      </c>
      <c r="AL3" t="s">
        <v>2</v>
      </c>
      <c r="AM3" t="s">
        <v>2</v>
      </c>
      <c r="AN3" t="s">
        <v>23</v>
      </c>
    </row>
    <row r="4" spans="1:4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tr">
        <f t="shared" si="0"/>
        <v>PXCEU-F67043KBG</v>
      </c>
      <c r="I4" t="s">
        <v>28</v>
      </c>
      <c r="J4" t="s">
        <v>29</v>
      </c>
      <c r="K4" t="s">
        <v>26</v>
      </c>
      <c r="L4" s="2">
        <v>89.68</v>
      </c>
      <c r="M4" s="3">
        <v>10</v>
      </c>
      <c r="N4" t="s">
        <v>30</v>
      </c>
      <c r="O4" s="4">
        <v>46356</v>
      </c>
      <c r="P4" t="s">
        <v>11</v>
      </c>
      <c r="Q4" t="s">
        <v>2</v>
      </c>
      <c r="R4" t="s">
        <v>12</v>
      </c>
      <c r="S4" s="4">
        <v>46227</v>
      </c>
      <c r="T4" t="s">
        <v>13</v>
      </c>
      <c r="U4" t="s">
        <v>2</v>
      </c>
      <c r="V4" t="s">
        <v>14</v>
      </c>
      <c r="W4" t="s">
        <v>15</v>
      </c>
      <c r="X4" t="s">
        <v>16</v>
      </c>
      <c r="Y4" t="s">
        <v>17</v>
      </c>
      <c r="Z4" t="s">
        <v>17</v>
      </c>
      <c r="AA4" t="s">
        <v>18</v>
      </c>
      <c r="AB4" t="s">
        <v>19</v>
      </c>
      <c r="AC4" t="s">
        <v>20</v>
      </c>
      <c r="AD4" t="s">
        <v>12</v>
      </c>
      <c r="AE4" t="s">
        <v>21</v>
      </c>
      <c r="AF4" s="5">
        <v>89.68</v>
      </c>
      <c r="AG4" s="2">
        <v>896.8</v>
      </c>
      <c r="AH4" t="s">
        <v>22</v>
      </c>
      <c r="AI4" s="4">
        <v>46356</v>
      </c>
      <c r="AJ4" s="4">
        <v>46359</v>
      </c>
      <c r="AK4" s="4">
        <v>46227</v>
      </c>
      <c r="AL4" t="s">
        <v>2</v>
      </c>
      <c r="AM4" t="s">
        <v>2</v>
      </c>
      <c r="AN4" t="s">
        <v>23</v>
      </c>
    </row>
    <row r="5" spans="1:4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tr">
        <f t="shared" si="0"/>
        <v>PXCEU-F67081KBG</v>
      </c>
      <c r="I5" t="s">
        <v>31</v>
      </c>
      <c r="J5" t="s">
        <v>32</v>
      </c>
      <c r="K5" t="s">
        <v>33</v>
      </c>
      <c r="L5" s="2">
        <v>45.5</v>
      </c>
      <c r="M5" s="3">
        <v>10</v>
      </c>
      <c r="N5" t="s">
        <v>30</v>
      </c>
      <c r="O5" s="4">
        <v>46356</v>
      </c>
      <c r="P5" t="s">
        <v>11</v>
      </c>
      <c r="Q5" t="s">
        <v>2</v>
      </c>
      <c r="R5" t="s">
        <v>12</v>
      </c>
      <c r="S5" s="4">
        <v>46227</v>
      </c>
      <c r="T5" t="s">
        <v>13</v>
      </c>
      <c r="U5" t="s">
        <v>2</v>
      </c>
      <c r="V5" t="s">
        <v>14</v>
      </c>
      <c r="W5" t="s">
        <v>15</v>
      </c>
      <c r="X5" t="s">
        <v>16</v>
      </c>
      <c r="Y5" t="s">
        <v>17</v>
      </c>
      <c r="Z5" t="s">
        <v>17</v>
      </c>
      <c r="AA5" t="s">
        <v>18</v>
      </c>
      <c r="AB5" t="s">
        <v>19</v>
      </c>
      <c r="AC5" t="s">
        <v>20</v>
      </c>
      <c r="AD5" t="s">
        <v>12</v>
      </c>
      <c r="AE5" t="s">
        <v>21</v>
      </c>
      <c r="AF5" s="5">
        <v>45.5</v>
      </c>
      <c r="AG5" s="2">
        <v>455</v>
      </c>
      <c r="AH5" t="s">
        <v>22</v>
      </c>
      <c r="AI5" s="4">
        <v>46356</v>
      </c>
      <c r="AJ5" s="4">
        <v>46359</v>
      </c>
      <c r="AK5" s="4">
        <v>46227</v>
      </c>
      <c r="AL5" t="s">
        <v>2</v>
      </c>
      <c r="AM5" t="s">
        <v>2</v>
      </c>
      <c r="AN5" t="s">
        <v>23</v>
      </c>
    </row>
    <row r="6" spans="1:40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tr">
        <f t="shared" si="0"/>
        <v>PXCEU-F67081FAB</v>
      </c>
      <c r="I6" t="s">
        <v>31</v>
      </c>
      <c r="J6" t="s">
        <v>32</v>
      </c>
      <c r="K6" t="s">
        <v>33</v>
      </c>
      <c r="L6" s="2">
        <v>45.5</v>
      </c>
      <c r="M6" s="3">
        <v>12</v>
      </c>
      <c r="N6" t="s">
        <v>10</v>
      </c>
      <c r="O6" s="4">
        <v>46356</v>
      </c>
      <c r="P6" t="s">
        <v>11</v>
      </c>
      <c r="Q6" t="s">
        <v>2</v>
      </c>
      <c r="R6" t="s">
        <v>12</v>
      </c>
      <c r="S6" s="4">
        <v>46227</v>
      </c>
      <c r="T6" t="s">
        <v>13</v>
      </c>
      <c r="U6" t="s">
        <v>2</v>
      </c>
      <c r="V6" t="s">
        <v>14</v>
      </c>
      <c r="W6" t="s">
        <v>15</v>
      </c>
      <c r="X6" t="s">
        <v>16</v>
      </c>
      <c r="Y6" t="s">
        <v>17</v>
      </c>
      <c r="Z6" t="s">
        <v>17</v>
      </c>
      <c r="AA6" t="s">
        <v>18</v>
      </c>
      <c r="AB6" t="s">
        <v>19</v>
      </c>
      <c r="AC6" t="s">
        <v>20</v>
      </c>
      <c r="AD6" t="s">
        <v>34</v>
      </c>
      <c r="AE6" t="s">
        <v>21</v>
      </c>
      <c r="AF6" s="5">
        <v>45.5</v>
      </c>
      <c r="AG6" s="2">
        <v>546</v>
      </c>
      <c r="AH6" t="s">
        <v>22</v>
      </c>
      <c r="AI6" s="4">
        <v>46356</v>
      </c>
      <c r="AJ6" s="4">
        <v>46359</v>
      </c>
      <c r="AK6" s="4">
        <v>46227</v>
      </c>
      <c r="AL6" t="s">
        <v>2</v>
      </c>
      <c r="AM6" t="s">
        <v>2</v>
      </c>
      <c r="AN6" t="s">
        <v>23</v>
      </c>
    </row>
    <row r="7" spans="1:40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tr">
        <f t="shared" si="0"/>
        <v>PXCEV-F63034GAA</v>
      </c>
      <c r="I7" t="s">
        <v>35</v>
      </c>
      <c r="J7" t="s">
        <v>36</v>
      </c>
      <c r="K7" t="s">
        <v>9</v>
      </c>
      <c r="L7" s="2">
        <v>30</v>
      </c>
      <c r="M7" s="3">
        <v>10</v>
      </c>
      <c r="N7" t="s">
        <v>37</v>
      </c>
      <c r="O7" s="4">
        <v>46356</v>
      </c>
      <c r="P7" t="s">
        <v>11</v>
      </c>
      <c r="Q7" t="s">
        <v>2</v>
      </c>
      <c r="R7" t="s">
        <v>12</v>
      </c>
      <c r="S7" s="4">
        <v>46227</v>
      </c>
      <c r="T7" t="s">
        <v>13</v>
      </c>
      <c r="U7" t="s">
        <v>2</v>
      </c>
      <c r="V7" t="s">
        <v>14</v>
      </c>
      <c r="W7" t="s">
        <v>15</v>
      </c>
      <c r="X7" t="s">
        <v>16</v>
      </c>
      <c r="Y7" t="s">
        <v>17</v>
      </c>
      <c r="Z7" t="s">
        <v>17</v>
      </c>
      <c r="AA7" t="s">
        <v>18</v>
      </c>
      <c r="AB7" t="s">
        <v>19</v>
      </c>
      <c r="AC7" t="s">
        <v>20</v>
      </c>
      <c r="AD7" t="s">
        <v>12</v>
      </c>
      <c r="AE7" t="s">
        <v>21</v>
      </c>
      <c r="AF7" s="5">
        <v>30</v>
      </c>
      <c r="AG7" s="2">
        <v>300</v>
      </c>
      <c r="AH7" t="s">
        <v>22</v>
      </c>
      <c r="AI7" s="4">
        <v>46356</v>
      </c>
      <c r="AJ7" s="4">
        <v>46359</v>
      </c>
      <c r="AK7" s="4">
        <v>46227</v>
      </c>
      <c r="AL7" t="s">
        <v>2</v>
      </c>
      <c r="AM7" t="s">
        <v>2</v>
      </c>
      <c r="AN7" t="s">
        <v>23</v>
      </c>
    </row>
    <row r="8" spans="1:40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tr">
        <f t="shared" si="0"/>
        <v>PXCEV-F67081GAA</v>
      </c>
      <c r="I8" t="s">
        <v>38</v>
      </c>
      <c r="J8" t="s">
        <v>39</v>
      </c>
      <c r="K8" t="s">
        <v>33</v>
      </c>
      <c r="L8" s="2">
        <v>46</v>
      </c>
      <c r="M8" s="3">
        <v>17</v>
      </c>
      <c r="N8" t="s">
        <v>37</v>
      </c>
      <c r="O8" s="4">
        <v>46356</v>
      </c>
      <c r="P8" t="s">
        <v>11</v>
      </c>
      <c r="Q8" t="s">
        <v>2</v>
      </c>
      <c r="R8" t="s">
        <v>12</v>
      </c>
      <c r="S8" s="4">
        <v>46227</v>
      </c>
      <c r="T8" t="s">
        <v>13</v>
      </c>
      <c r="U8" t="s">
        <v>2</v>
      </c>
      <c r="V8" t="s">
        <v>14</v>
      </c>
      <c r="W8" t="s">
        <v>15</v>
      </c>
      <c r="X8" t="s">
        <v>16</v>
      </c>
      <c r="Y8" t="s">
        <v>17</v>
      </c>
      <c r="Z8" t="s">
        <v>17</v>
      </c>
      <c r="AA8" t="s">
        <v>18</v>
      </c>
      <c r="AB8" t="s">
        <v>19</v>
      </c>
      <c r="AC8" t="s">
        <v>20</v>
      </c>
      <c r="AD8" t="s">
        <v>12</v>
      </c>
      <c r="AE8" t="s">
        <v>21</v>
      </c>
      <c r="AF8" s="5">
        <v>46</v>
      </c>
      <c r="AG8" s="2">
        <v>782</v>
      </c>
      <c r="AH8" t="s">
        <v>22</v>
      </c>
      <c r="AI8" s="4">
        <v>46356</v>
      </c>
      <c r="AJ8" s="4">
        <v>46359</v>
      </c>
      <c r="AK8" s="4">
        <v>46227</v>
      </c>
      <c r="AL8" t="s">
        <v>2</v>
      </c>
      <c r="AM8" t="s">
        <v>2</v>
      </c>
      <c r="AN8" t="s">
        <v>23</v>
      </c>
    </row>
    <row r="9" spans="1:40" x14ac:dyDescent="0.25">
      <c r="A9" t="s">
        <v>0</v>
      </c>
      <c r="B9" t="s">
        <v>1</v>
      </c>
      <c r="C9" t="s">
        <v>2</v>
      </c>
      <c r="D9" t="s">
        <v>40</v>
      </c>
      <c r="E9" t="s">
        <v>4</v>
      </c>
      <c r="F9" t="s">
        <v>19</v>
      </c>
      <c r="G9" t="s">
        <v>6</v>
      </c>
      <c r="H9" t="str">
        <f t="shared" si="0"/>
        <v>PXCBC-F67008LAO</v>
      </c>
      <c r="I9" t="s">
        <v>41</v>
      </c>
      <c r="J9" t="s">
        <v>42</v>
      </c>
      <c r="K9" t="s">
        <v>43</v>
      </c>
      <c r="L9" s="2">
        <v>67.8</v>
      </c>
      <c r="M9" s="3">
        <v>10</v>
      </c>
      <c r="N9" t="s">
        <v>44</v>
      </c>
      <c r="O9" s="4">
        <v>46356</v>
      </c>
      <c r="P9" t="s">
        <v>11</v>
      </c>
      <c r="Q9" t="s">
        <v>2</v>
      </c>
      <c r="R9" t="s">
        <v>12</v>
      </c>
      <c r="S9" s="4">
        <v>46227</v>
      </c>
      <c r="T9" t="s">
        <v>13</v>
      </c>
      <c r="U9" t="s">
        <v>2</v>
      </c>
      <c r="V9" t="s">
        <v>14</v>
      </c>
      <c r="W9" t="s">
        <v>15</v>
      </c>
      <c r="X9" t="s">
        <v>16</v>
      </c>
      <c r="Y9" t="s">
        <v>17</v>
      </c>
      <c r="Z9" t="s">
        <v>17</v>
      </c>
      <c r="AA9" t="s">
        <v>18</v>
      </c>
      <c r="AB9" t="s">
        <v>19</v>
      </c>
      <c r="AC9" t="s">
        <v>20</v>
      </c>
      <c r="AD9" t="s">
        <v>12</v>
      </c>
      <c r="AE9" t="s">
        <v>21</v>
      </c>
      <c r="AF9" s="5">
        <v>67.8</v>
      </c>
      <c r="AG9" s="2">
        <v>678</v>
      </c>
      <c r="AH9" t="s">
        <v>22</v>
      </c>
      <c r="AI9" s="4">
        <v>46356</v>
      </c>
      <c r="AJ9" s="4">
        <v>46359</v>
      </c>
      <c r="AK9" s="4">
        <v>46227</v>
      </c>
      <c r="AL9" t="s">
        <v>2</v>
      </c>
      <c r="AM9" t="s">
        <v>2</v>
      </c>
      <c r="AN9" t="s">
        <v>23</v>
      </c>
    </row>
    <row r="10" spans="1:40" x14ac:dyDescent="0.25">
      <c r="A10" t="s">
        <v>0</v>
      </c>
      <c r="B10" t="s">
        <v>1</v>
      </c>
      <c r="C10" t="s">
        <v>2</v>
      </c>
      <c r="D10" t="s">
        <v>40</v>
      </c>
      <c r="E10" t="s">
        <v>4</v>
      </c>
      <c r="F10" t="s">
        <v>19</v>
      </c>
      <c r="G10" t="s">
        <v>6</v>
      </c>
      <c r="H10" t="str">
        <f t="shared" si="0"/>
        <v>PXCBC-F67008DAB</v>
      </c>
      <c r="I10" t="s">
        <v>41</v>
      </c>
      <c r="J10" t="s">
        <v>42</v>
      </c>
      <c r="K10" t="s">
        <v>43</v>
      </c>
      <c r="L10" s="2">
        <v>67.8</v>
      </c>
      <c r="M10" s="3">
        <v>10</v>
      </c>
      <c r="N10" t="s">
        <v>45</v>
      </c>
      <c r="O10" s="4">
        <v>46356</v>
      </c>
      <c r="P10" t="s">
        <v>11</v>
      </c>
      <c r="Q10" t="s">
        <v>2</v>
      </c>
      <c r="R10" t="s">
        <v>12</v>
      </c>
      <c r="S10" s="4">
        <v>46227</v>
      </c>
      <c r="T10" t="s">
        <v>13</v>
      </c>
      <c r="U10" t="s">
        <v>2</v>
      </c>
      <c r="V10" t="s">
        <v>14</v>
      </c>
      <c r="W10" t="s">
        <v>15</v>
      </c>
      <c r="X10" t="s">
        <v>16</v>
      </c>
      <c r="Y10" t="s">
        <v>17</v>
      </c>
      <c r="Z10" t="s">
        <v>17</v>
      </c>
      <c r="AA10" t="s">
        <v>18</v>
      </c>
      <c r="AB10" t="s">
        <v>19</v>
      </c>
      <c r="AC10" t="s">
        <v>20</v>
      </c>
      <c r="AD10" t="s">
        <v>34</v>
      </c>
      <c r="AE10" t="s">
        <v>21</v>
      </c>
      <c r="AF10" s="5">
        <v>67.8</v>
      </c>
      <c r="AG10" s="2">
        <v>678</v>
      </c>
      <c r="AH10" t="s">
        <v>22</v>
      </c>
      <c r="AI10" s="4">
        <v>46356</v>
      </c>
      <c r="AJ10" s="4">
        <v>46359</v>
      </c>
      <c r="AK10" s="4">
        <v>46227</v>
      </c>
      <c r="AL10" t="s">
        <v>2</v>
      </c>
      <c r="AM10" t="s">
        <v>2</v>
      </c>
      <c r="AN10" t="s">
        <v>23</v>
      </c>
    </row>
    <row r="11" spans="1:40" x14ac:dyDescent="0.25">
      <c r="A11" t="s">
        <v>0</v>
      </c>
      <c r="B11" t="s">
        <v>1</v>
      </c>
      <c r="C11" t="s">
        <v>2</v>
      </c>
      <c r="D11" t="s">
        <v>40</v>
      </c>
      <c r="E11" t="s">
        <v>4</v>
      </c>
      <c r="F11" t="s">
        <v>19</v>
      </c>
      <c r="G11" t="s">
        <v>6</v>
      </c>
      <c r="H11" t="str">
        <f t="shared" si="0"/>
        <v>PXCBC-F67043DAB</v>
      </c>
      <c r="I11" t="s">
        <v>46</v>
      </c>
      <c r="J11" t="s">
        <v>25</v>
      </c>
      <c r="K11" t="s">
        <v>26</v>
      </c>
      <c r="L11" s="2">
        <v>66.5</v>
      </c>
      <c r="M11" s="3">
        <v>10</v>
      </c>
      <c r="N11" t="s">
        <v>45</v>
      </c>
      <c r="O11" s="4">
        <v>46356</v>
      </c>
      <c r="P11" t="s">
        <v>11</v>
      </c>
      <c r="Q11" t="s">
        <v>2</v>
      </c>
      <c r="R11" t="s">
        <v>12</v>
      </c>
      <c r="S11" s="4">
        <v>46227</v>
      </c>
      <c r="T11" t="s">
        <v>13</v>
      </c>
      <c r="U11" t="s">
        <v>2</v>
      </c>
      <c r="V11" t="s">
        <v>14</v>
      </c>
      <c r="W11" t="s">
        <v>15</v>
      </c>
      <c r="X11" t="s">
        <v>16</v>
      </c>
      <c r="Y11" t="s">
        <v>17</v>
      </c>
      <c r="Z11" t="s">
        <v>17</v>
      </c>
      <c r="AA11" t="s">
        <v>18</v>
      </c>
      <c r="AB11" t="s">
        <v>19</v>
      </c>
      <c r="AC11" t="s">
        <v>20</v>
      </c>
      <c r="AD11" t="s">
        <v>12</v>
      </c>
      <c r="AE11" t="s">
        <v>21</v>
      </c>
      <c r="AF11" s="5">
        <v>66.5</v>
      </c>
      <c r="AG11" s="2">
        <v>665</v>
      </c>
      <c r="AH11" t="s">
        <v>22</v>
      </c>
      <c r="AI11" s="4">
        <v>46356</v>
      </c>
      <c r="AJ11" s="4">
        <v>46359</v>
      </c>
      <c r="AK11" s="4">
        <v>46227</v>
      </c>
      <c r="AL11" t="s">
        <v>2</v>
      </c>
      <c r="AM11" t="s">
        <v>2</v>
      </c>
      <c r="AN11" t="s">
        <v>23</v>
      </c>
    </row>
    <row r="12" spans="1:40" x14ac:dyDescent="0.25">
      <c r="A12" t="s">
        <v>0</v>
      </c>
      <c r="B12" t="s">
        <v>1</v>
      </c>
      <c r="C12" t="s">
        <v>2</v>
      </c>
      <c r="D12" t="s">
        <v>47</v>
      </c>
      <c r="E12" t="s">
        <v>48</v>
      </c>
      <c r="F12" t="s">
        <v>49</v>
      </c>
      <c r="G12" t="s">
        <v>6</v>
      </c>
      <c r="H12" t="str">
        <f t="shared" si="0"/>
        <v>PXBMW-F63034FAB</v>
      </c>
      <c r="I12" t="s">
        <v>50</v>
      </c>
      <c r="J12" t="s">
        <v>8</v>
      </c>
      <c r="K12" t="s">
        <v>9</v>
      </c>
      <c r="L12" s="2">
        <v>1</v>
      </c>
      <c r="M12" s="3">
        <v>10</v>
      </c>
      <c r="N12" t="s">
        <v>10</v>
      </c>
      <c r="O12" s="4">
        <v>46356</v>
      </c>
      <c r="P12" t="s">
        <v>11</v>
      </c>
      <c r="Q12" t="s">
        <v>2</v>
      </c>
      <c r="R12" t="s">
        <v>12</v>
      </c>
      <c r="S12" s="4">
        <v>46226</v>
      </c>
      <c r="T12" t="s">
        <v>13</v>
      </c>
      <c r="U12" t="s">
        <v>2</v>
      </c>
      <c r="V12" t="s">
        <v>14</v>
      </c>
      <c r="W12" t="s">
        <v>15</v>
      </c>
      <c r="X12" t="s">
        <v>16</v>
      </c>
      <c r="Y12" t="s">
        <v>51</v>
      </c>
      <c r="Z12" t="s">
        <v>51</v>
      </c>
      <c r="AA12" t="s">
        <v>18</v>
      </c>
      <c r="AB12" t="s">
        <v>19</v>
      </c>
      <c r="AC12" t="s">
        <v>20</v>
      </c>
      <c r="AD12" t="s">
        <v>12</v>
      </c>
      <c r="AE12" t="s">
        <v>21</v>
      </c>
      <c r="AF12" s="5">
        <v>1</v>
      </c>
      <c r="AG12" s="2">
        <v>10</v>
      </c>
      <c r="AH12" t="s">
        <v>22</v>
      </c>
      <c r="AI12" s="4">
        <v>46356</v>
      </c>
      <c r="AJ12" s="4">
        <v>46360</v>
      </c>
      <c r="AK12" s="4">
        <v>46226</v>
      </c>
      <c r="AL12" t="s">
        <v>2</v>
      </c>
      <c r="AM12" t="s">
        <v>2</v>
      </c>
      <c r="AN12" t="s">
        <v>23</v>
      </c>
    </row>
    <row r="13" spans="1:40" x14ac:dyDescent="0.25">
      <c r="A13" t="s">
        <v>0</v>
      </c>
      <c r="B13" t="s">
        <v>1</v>
      </c>
      <c r="C13" t="s">
        <v>2</v>
      </c>
      <c r="D13" t="s">
        <v>47</v>
      </c>
      <c r="E13" t="s">
        <v>48</v>
      </c>
      <c r="F13" t="s">
        <v>49</v>
      </c>
      <c r="G13" t="s">
        <v>6</v>
      </c>
      <c r="H13" t="str">
        <f t="shared" si="0"/>
        <v>PXCBC-M67115IBC</v>
      </c>
      <c r="I13" t="s">
        <v>52</v>
      </c>
      <c r="J13" t="s">
        <v>53</v>
      </c>
      <c r="K13" t="s">
        <v>54</v>
      </c>
      <c r="L13" s="2">
        <v>86</v>
      </c>
      <c r="M13" s="3">
        <v>9</v>
      </c>
      <c r="N13" t="s">
        <v>55</v>
      </c>
      <c r="O13" s="4">
        <v>46356</v>
      </c>
      <c r="P13" t="s">
        <v>11</v>
      </c>
      <c r="Q13" t="s">
        <v>2</v>
      </c>
      <c r="R13" t="s">
        <v>12</v>
      </c>
      <c r="S13" s="4">
        <v>46227</v>
      </c>
      <c r="T13" t="s">
        <v>13</v>
      </c>
      <c r="U13" t="s">
        <v>2</v>
      </c>
      <c r="V13" t="s">
        <v>14</v>
      </c>
      <c r="W13" t="s">
        <v>15</v>
      </c>
      <c r="X13" t="s">
        <v>16</v>
      </c>
      <c r="Y13" t="s">
        <v>51</v>
      </c>
      <c r="Z13" t="s">
        <v>51</v>
      </c>
      <c r="AA13" t="s">
        <v>18</v>
      </c>
      <c r="AB13" t="s">
        <v>19</v>
      </c>
      <c r="AC13" t="s">
        <v>20</v>
      </c>
      <c r="AD13" t="s">
        <v>12</v>
      </c>
      <c r="AE13" t="s">
        <v>21</v>
      </c>
      <c r="AF13" s="5">
        <v>86</v>
      </c>
      <c r="AG13" s="2">
        <v>774</v>
      </c>
      <c r="AH13" t="s">
        <v>22</v>
      </c>
      <c r="AI13" s="4">
        <v>46356</v>
      </c>
      <c r="AJ13" s="4">
        <v>46360</v>
      </c>
      <c r="AK13" s="4">
        <v>46227</v>
      </c>
      <c r="AL13" t="s">
        <v>2</v>
      </c>
      <c r="AM13" t="s">
        <v>2</v>
      </c>
      <c r="AN13" t="s">
        <v>23</v>
      </c>
    </row>
    <row r="14" spans="1:40" x14ac:dyDescent="0.25">
      <c r="A14" t="s">
        <v>0</v>
      </c>
      <c r="B14" t="s">
        <v>1</v>
      </c>
      <c r="C14" t="s">
        <v>2</v>
      </c>
      <c r="D14" t="s">
        <v>47</v>
      </c>
      <c r="E14" t="s">
        <v>48</v>
      </c>
      <c r="F14" t="s">
        <v>49</v>
      </c>
      <c r="G14" t="s">
        <v>6</v>
      </c>
      <c r="H14" t="str">
        <f t="shared" si="0"/>
        <v>PXCEU-F67043FAB</v>
      </c>
      <c r="I14" t="s">
        <v>56</v>
      </c>
      <c r="J14" t="s">
        <v>29</v>
      </c>
      <c r="K14" t="s">
        <v>26</v>
      </c>
      <c r="L14" s="2">
        <v>89.68</v>
      </c>
      <c r="M14" s="3">
        <v>11</v>
      </c>
      <c r="N14" t="s">
        <v>10</v>
      </c>
      <c r="O14" s="4">
        <v>46356</v>
      </c>
      <c r="P14" t="s">
        <v>11</v>
      </c>
      <c r="Q14" t="s">
        <v>2</v>
      </c>
      <c r="R14" t="s">
        <v>12</v>
      </c>
      <c r="S14" s="4">
        <v>46227</v>
      </c>
      <c r="T14" t="s">
        <v>13</v>
      </c>
      <c r="U14" t="s">
        <v>2</v>
      </c>
      <c r="V14" t="s">
        <v>14</v>
      </c>
      <c r="W14" t="s">
        <v>15</v>
      </c>
      <c r="X14" t="s">
        <v>16</v>
      </c>
      <c r="Y14" t="s">
        <v>51</v>
      </c>
      <c r="Z14" t="s">
        <v>51</v>
      </c>
      <c r="AA14" t="s">
        <v>18</v>
      </c>
      <c r="AB14" t="s">
        <v>19</v>
      </c>
      <c r="AC14" t="s">
        <v>20</v>
      </c>
      <c r="AD14" t="s">
        <v>12</v>
      </c>
      <c r="AE14" t="s">
        <v>21</v>
      </c>
      <c r="AF14" s="5">
        <v>89.68</v>
      </c>
      <c r="AG14" s="2">
        <v>986.48</v>
      </c>
      <c r="AH14" t="s">
        <v>22</v>
      </c>
      <c r="AI14" s="4">
        <v>46356</v>
      </c>
      <c r="AJ14" s="4">
        <v>46360</v>
      </c>
      <c r="AK14" s="4">
        <v>46227</v>
      </c>
      <c r="AL14" t="s">
        <v>2</v>
      </c>
      <c r="AM14" t="s">
        <v>2</v>
      </c>
      <c r="AN14" t="s">
        <v>23</v>
      </c>
    </row>
    <row r="15" spans="1:40" x14ac:dyDescent="0.25">
      <c r="A15" t="s">
        <v>0</v>
      </c>
      <c r="B15" t="s">
        <v>1</v>
      </c>
      <c r="C15" t="s">
        <v>2</v>
      </c>
      <c r="D15" t="s">
        <v>47</v>
      </c>
      <c r="E15" t="s">
        <v>48</v>
      </c>
      <c r="F15" t="s">
        <v>49</v>
      </c>
      <c r="G15" t="s">
        <v>6</v>
      </c>
      <c r="H15" t="str">
        <f t="shared" si="0"/>
        <v>PXCFV-F63023TLD</v>
      </c>
      <c r="I15" t="s">
        <v>57</v>
      </c>
      <c r="J15" t="s">
        <v>58</v>
      </c>
      <c r="K15" t="s">
        <v>59</v>
      </c>
      <c r="L15" s="2">
        <v>1</v>
      </c>
      <c r="M15" s="3">
        <v>8</v>
      </c>
      <c r="N15" t="s">
        <v>60</v>
      </c>
      <c r="O15" s="4">
        <v>46356</v>
      </c>
      <c r="P15" t="s">
        <v>11</v>
      </c>
      <c r="Q15" t="s">
        <v>2</v>
      </c>
      <c r="R15" t="s">
        <v>12</v>
      </c>
      <c r="S15" s="4">
        <v>46227</v>
      </c>
      <c r="T15" t="s">
        <v>13</v>
      </c>
      <c r="U15" t="s">
        <v>2</v>
      </c>
      <c r="V15" t="s">
        <v>14</v>
      </c>
      <c r="W15" t="s">
        <v>15</v>
      </c>
      <c r="X15" t="s">
        <v>16</v>
      </c>
      <c r="Y15" t="s">
        <v>51</v>
      </c>
      <c r="Z15" t="s">
        <v>51</v>
      </c>
      <c r="AA15" t="s">
        <v>18</v>
      </c>
      <c r="AB15" t="s">
        <v>19</v>
      </c>
      <c r="AC15" t="s">
        <v>20</v>
      </c>
      <c r="AD15" t="s">
        <v>12</v>
      </c>
      <c r="AE15" t="s">
        <v>21</v>
      </c>
      <c r="AF15" s="5">
        <v>1</v>
      </c>
      <c r="AG15" s="2">
        <v>8</v>
      </c>
      <c r="AH15" t="s">
        <v>22</v>
      </c>
      <c r="AI15" s="4">
        <v>46356</v>
      </c>
      <c r="AJ15" s="4">
        <v>46360</v>
      </c>
      <c r="AK15" s="4">
        <v>46227</v>
      </c>
      <c r="AL15" t="s">
        <v>2</v>
      </c>
      <c r="AM15" t="s">
        <v>2</v>
      </c>
      <c r="AN15" t="s">
        <v>23</v>
      </c>
    </row>
    <row r="16" spans="1:40" x14ac:dyDescent="0.25">
      <c r="A16" t="s">
        <v>0</v>
      </c>
      <c r="B16" t="s">
        <v>1</v>
      </c>
      <c r="C16" t="s">
        <v>2</v>
      </c>
      <c r="D16" t="s">
        <v>47</v>
      </c>
      <c r="E16" t="s">
        <v>48</v>
      </c>
      <c r="F16" t="s">
        <v>49</v>
      </c>
      <c r="G16" t="s">
        <v>6</v>
      </c>
      <c r="H16" t="str">
        <f t="shared" si="0"/>
        <v>PXCBC-F67008DAB</v>
      </c>
      <c r="I16" t="s">
        <v>61</v>
      </c>
      <c r="J16" t="s">
        <v>42</v>
      </c>
      <c r="K16" t="s">
        <v>43</v>
      </c>
      <c r="L16" s="2">
        <v>67.8</v>
      </c>
      <c r="M16" s="3">
        <v>16</v>
      </c>
      <c r="N16" t="s">
        <v>45</v>
      </c>
      <c r="O16" s="4">
        <v>46356</v>
      </c>
      <c r="P16" t="s">
        <v>11</v>
      </c>
      <c r="Q16" t="s">
        <v>2</v>
      </c>
      <c r="R16" t="s">
        <v>12</v>
      </c>
      <c r="S16" s="4">
        <v>46227</v>
      </c>
      <c r="T16" t="s">
        <v>13</v>
      </c>
      <c r="U16" t="s">
        <v>2</v>
      </c>
      <c r="V16" t="s">
        <v>14</v>
      </c>
      <c r="W16" t="s">
        <v>15</v>
      </c>
      <c r="X16" t="s">
        <v>16</v>
      </c>
      <c r="Y16" t="s">
        <v>51</v>
      </c>
      <c r="Z16" t="s">
        <v>51</v>
      </c>
      <c r="AA16" t="s">
        <v>18</v>
      </c>
      <c r="AB16" t="s">
        <v>19</v>
      </c>
      <c r="AC16" t="s">
        <v>20</v>
      </c>
      <c r="AD16" t="s">
        <v>12</v>
      </c>
      <c r="AE16" t="s">
        <v>21</v>
      </c>
      <c r="AF16" s="5">
        <v>67.8</v>
      </c>
      <c r="AG16" s="2">
        <v>1084.8</v>
      </c>
      <c r="AH16" t="s">
        <v>22</v>
      </c>
      <c r="AI16" s="4">
        <v>46356</v>
      </c>
      <c r="AJ16" s="4">
        <v>46360</v>
      </c>
      <c r="AK16" s="4">
        <v>46227</v>
      </c>
      <c r="AL16" t="s">
        <v>2</v>
      </c>
      <c r="AM16" t="s">
        <v>2</v>
      </c>
      <c r="AN16" t="s">
        <v>23</v>
      </c>
    </row>
    <row r="17" spans="1:40" x14ac:dyDescent="0.25">
      <c r="A17" t="s">
        <v>0</v>
      </c>
      <c r="B17" t="s">
        <v>1</v>
      </c>
      <c r="C17" t="s">
        <v>2</v>
      </c>
      <c r="D17" t="s">
        <v>47</v>
      </c>
      <c r="E17" t="s">
        <v>48</v>
      </c>
      <c r="F17" t="s">
        <v>49</v>
      </c>
      <c r="G17" t="s">
        <v>6</v>
      </c>
      <c r="H17" t="str">
        <f t="shared" si="0"/>
        <v>PXCBC-F67081DAB</v>
      </c>
      <c r="I17" t="s">
        <v>62</v>
      </c>
      <c r="J17" t="s">
        <v>63</v>
      </c>
      <c r="K17" t="s">
        <v>33</v>
      </c>
      <c r="L17" s="2">
        <v>38.5</v>
      </c>
      <c r="M17" s="3">
        <v>19</v>
      </c>
      <c r="N17" t="s">
        <v>45</v>
      </c>
      <c r="O17" s="4">
        <v>46356</v>
      </c>
      <c r="P17" t="s">
        <v>11</v>
      </c>
      <c r="Q17" t="s">
        <v>2</v>
      </c>
      <c r="R17" t="s">
        <v>12</v>
      </c>
      <c r="S17" s="4">
        <v>46227</v>
      </c>
      <c r="T17" t="s">
        <v>13</v>
      </c>
      <c r="U17" t="s">
        <v>2</v>
      </c>
      <c r="V17" t="s">
        <v>14</v>
      </c>
      <c r="W17" t="s">
        <v>15</v>
      </c>
      <c r="X17" t="s">
        <v>16</v>
      </c>
      <c r="Y17" t="s">
        <v>51</v>
      </c>
      <c r="Z17" t="s">
        <v>51</v>
      </c>
      <c r="AA17" t="s">
        <v>18</v>
      </c>
      <c r="AB17" t="s">
        <v>19</v>
      </c>
      <c r="AC17" t="s">
        <v>20</v>
      </c>
      <c r="AD17" t="s">
        <v>12</v>
      </c>
      <c r="AE17" t="s">
        <v>21</v>
      </c>
      <c r="AF17" s="5">
        <v>38.5</v>
      </c>
      <c r="AG17" s="2">
        <v>731.5</v>
      </c>
      <c r="AH17" t="s">
        <v>22</v>
      </c>
      <c r="AI17" s="4">
        <v>46356</v>
      </c>
      <c r="AJ17" s="4">
        <v>46360</v>
      </c>
      <c r="AK17" s="4">
        <v>46227</v>
      </c>
      <c r="AL17" t="s">
        <v>2</v>
      </c>
      <c r="AM17" t="s">
        <v>2</v>
      </c>
      <c r="AN17" t="s">
        <v>23</v>
      </c>
    </row>
    <row r="18" spans="1:40" x14ac:dyDescent="0.25">
      <c r="A18" t="s">
        <v>0</v>
      </c>
      <c r="B18" t="s">
        <v>1</v>
      </c>
      <c r="C18" t="s">
        <v>2</v>
      </c>
      <c r="D18" t="s">
        <v>47</v>
      </c>
      <c r="E18" t="s">
        <v>48</v>
      </c>
      <c r="F18" t="s">
        <v>49</v>
      </c>
      <c r="G18" t="s">
        <v>6</v>
      </c>
      <c r="H18" t="str">
        <f t="shared" si="0"/>
        <v>PXCEV-F63034GAA</v>
      </c>
      <c r="I18" t="s">
        <v>64</v>
      </c>
      <c r="J18" t="s">
        <v>36</v>
      </c>
      <c r="K18" t="s">
        <v>9</v>
      </c>
      <c r="L18" s="2">
        <v>30</v>
      </c>
      <c r="M18" s="3">
        <v>17</v>
      </c>
      <c r="N18" t="s">
        <v>37</v>
      </c>
      <c r="O18" s="4">
        <v>46356</v>
      </c>
      <c r="P18" t="s">
        <v>11</v>
      </c>
      <c r="Q18" t="s">
        <v>2</v>
      </c>
      <c r="R18" t="s">
        <v>12</v>
      </c>
      <c r="S18" s="4">
        <v>46227</v>
      </c>
      <c r="T18" t="s">
        <v>13</v>
      </c>
      <c r="U18" t="s">
        <v>2</v>
      </c>
      <c r="V18" t="s">
        <v>14</v>
      </c>
      <c r="W18" t="s">
        <v>15</v>
      </c>
      <c r="X18" t="s">
        <v>16</v>
      </c>
      <c r="Y18" t="s">
        <v>51</v>
      </c>
      <c r="Z18" t="s">
        <v>51</v>
      </c>
      <c r="AA18" t="s">
        <v>18</v>
      </c>
      <c r="AB18" t="s">
        <v>19</v>
      </c>
      <c r="AC18" t="s">
        <v>20</v>
      </c>
      <c r="AD18" t="s">
        <v>12</v>
      </c>
      <c r="AE18" t="s">
        <v>21</v>
      </c>
      <c r="AF18" s="5">
        <v>30</v>
      </c>
      <c r="AG18" s="2">
        <v>510</v>
      </c>
      <c r="AH18" t="s">
        <v>22</v>
      </c>
      <c r="AI18" s="4">
        <v>46356</v>
      </c>
      <c r="AJ18" s="4">
        <v>46360</v>
      </c>
      <c r="AK18" s="4">
        <v>46227</v>
      </c>
      <c r="AL18" t="s">
        <v>2</v>
      </c>
      <c r="AM18" t="s">
        <v>2</v>
      </c>
      <c r="AN18" t="s">
        <v>23</v>
      </c>
    </row>
    <row r="19" spans="1:40" x14ac:dyDescent="0.25">
      <c r="A19" t="s">
        <v>0</v>
      </c>
      <c r="B19" t="s">
        <v>1</v>
      </c>
      <c r="C19" t="s">
        <v>2</v>
      </c>
      <c r="D19" t="s">
        <v>47</v>
      </c>
      <c r="E19" t="s">
        <v>48</v>
      </c>
      <c r="F19" t="s">
        <v>49</v>
      </c>
      <c r="G19" t="s">
        <v>6</v>
      </c>
      <c r="H19" t="str">
        <f t="shared" si="0"/>
        <v>PXCEV-F67008GAA</v>
      </c>
      <c r="I19" t="s">
        <v>65</v>
      </c>
      <c r="J19" t="s">
        <v>66</v>
      </c>
      <c r="K19" t="s">
        <v>43</v>
      </c>
      <c r="L19" s="2">
        <v>81.5</v>
      </c>
      <c r="M19" s="3">
        <v>19</v>
      </c>
      <c r="N19" t="s">
        <v>37</v>
      </c>
      <c r="O19" s="4">
        <v>46356</v>
      </c>
      <c r="P19" t="s">
        <v>11</v>
      </c>
      <c r="Q19" t="s">
        <v>2</v>
      </c>
      <c r="R19" t="s">
        <v>12</v>
      </c>
      <c r="S19" s="4">
        <v>46227</v>
      </c>
      <c r="T19" t="s">
        <v>13</v>
      </c>
      <c r="U19" t="s">
        <v>2</v>
      </c>
      <c r="V19" t="s">
        <v>14</v>
      </c>
      <c r="W19" t="s">
        <v>15</v>
      </c>
      <c r="X19" t="s">
        <v>16</v>
      </c>
      <c r="Y19" t="s">
        <v>51</v>
      </c>
      <c r="Z19" t="s">
        <v>51</v>
      </c>
      <c r="AA19" t="s">
        <v>18</v>
      </c>
      <c r="AB19" t="s">
        <v>19</v>
      </c>
      <c r="AC19" t="s">
        <v>20</v>
      </c>
      <c r="AD19" t="s">
        <v>12</v>
      </c>
      <c r="AE19" t="s">
        <v>21</v>
      </c>
      <c r="AF19" s="5">
        <v>81.5</v>
      </c>
      <c r="AG19" s="2">
        <v>1548.5</v>
      </c>
      <c r="AH19" t="s">
        <v>22</v>
      </c>
      <c r="AI19" s="4">
        <v>46356</v>
      </c>
      <c r="AJ19" s="4">
        <v>46360</v>
      </c>
      <c r="AK19" s="4">
        <v>46227</v>
      </c>
      <c r="AL19" t="s">
        <v>2</v>
      </c>
      <c r="AM19" t="s">
        <v>2</v>
      </c>
      <c r="AN19" t="s">
        <v>23</v>
      </c>
    </row>
    <row r="20" spans="1:40" x14ac:dyDescent="0.25">
      <c r="A20" t="s">
        <v>0</v>
      </c>
      <c r="B20" t="s">
        <v>1</v>
      </c>
      <c r="C20" t="s">
        <v>2</v>
      </c>
      <c r="D20" t="s">
        <v>47</v>
      </c>
      <c r="E20" t="s">
        <v>48</v>
      </c>
      <c r="F20" t="s">
        <v>49</v>
      </c>
      <c r="G20" t="s">
        <v>6</v>
      </c>
      <c r="H20" t="str">
        <f t="shared" si="0"/>
        <v>PXCEV-F67081GAA</v>
      </c>
      <c r="I20" t="s">
        <v>67</v>
      </c>
      <c r="J20" t="s">
        <v>39</v>
      </c>
      <c r="K20" t="s">
        <v>33</v>
      </c>
      <c r="L20" s="2">
        <v>46</v>
      </c>
      <c r="M20" s="3">
        <v>19</v>
      </c>
      <c r="N20" t="s">
        <v>37</v>
      </c>
      <c r="O20" s="4">
        <v>46356</v>
      </c>
      <c r="P20" t="s">
        <v>11</v>
      </c>
      <c r="Q20" t="s">
        <v>2</v>
      </c>
      <c r="R20" t="s">
        <v>12</v>
      </c>
      <c r="S20" s="4">
        <v>46227</v>
      </c>
      <c r="T20" t="s">
        <v>13</v>
      </c>
      <c r="U20" t="s">
        <v>2</v>
      </c>
      <c r="V20" t="s">
        <v>14</v>
      </c>
      <c r="W20" t="s">
        <v>15</v>
      </c>
      <c r="X20" t="s">
        <v>16</v>
      </c>
      <c r="Y20" t="s">
        <v>51</v>
      </c>
      <c r="Z20" t="s">
        <v>51</v>
      </c>
      <c r="AA20" t="s">
        <v>18</v>
      </c>
      <c r="AB20" t="s">
        <v>19</v>
      </c>
      <c r="AC20" t="s">
        <v>20</v>
      </c>
      <c r="AD20" t="s">
        <v>12</v>
      </c>
      <c r="AE20" t="s">
        <v>21</v>
      </c>
      <c r="AF20" s="5">
        <v>46</v>
      </c>
      <c r="AG20" s="2">
        <v>874</v>
      </c>
      <c r="AH20" t="s">
        <v>22</v>
      </c>
      <c r="AI20" s="4">
        <v>46356</v>
      </c>
      <c r="AJ20" s="4">
        <v>46360</v>
      </c>
      <c r="AK20" s="4">
        <v>46227</v>
      </c>
      <c r="AL20" t="s">
        <v>2</v>
      </c>
      <c r="AM20" t="s">
        <v>2</v>
      </c>
      <c r="AN20" t="s">
        <v>23</v>
      </c>
    </row>
    <row r="21" spans="1:40" x14ac:dyDescent="0.25">
      <c r="A21" t="s">
        <v>0</v>
      </c>
      <c r="B21" t="s">
        <v>1</v>
      </c>
      <c r="C21" t="s">
        <v>2</v>
      </c>
      <c r="D21" t="s">
        <v>47</v>
      </c>
      <c r="E21" t="s">
        <v>48</v>
      </c>
      <c r="F21" t="s">
        <v>68</v>
      </c>
      <c r="G21" t="s">
        <v>6</v>
      </c>
      <c r="H21" t="str">
        <f t="shared" si="0"/>
        <v>PXCBC-F67008LZZ</v>
      </c>
      <c r="I21" t="s">
        <v>69</v>
      </c>
      <c r="J21" t="s">
        <v>42</v>
      </c>
      <c r="K21" t="s">
        <v>43</v>
      </c>
      <c r="L21" s="2">
        <v>67.8</v>
      </c>
      <c r="M21" s="3">
        <v>243</v>
      </c>
      <c r="N21" t="s">
        <v>27</v>
      </c>
      <c r="O21" s="4">
        <v>46356</v>
      </c>
      <c r="P21" t="s">
        <v>11</v>
      </c>
      <c r="Q21" t="s">
        <v>2</v>
      </c>
      <c r="R21" t="s">
        <v>12</v>
      </c>
      <c r="S21" s="4">
        <v>46227</v>
      </c>
      <c r="T21" t="s">
        <v>13</v>
      </c>
      <c r="U21" t="s">
        <v>2</v>
      </c>
      <c r="V21" t="s">
        <v>14</v>
      </c>
      <c r="W21" t="s">
        <v>15</v>
      </c>
      <c r="X21" t="s">
        <v>16</v>
      </c>
      <c r="Y21" t="s">
        <v>51</v>
      </c>
      <c r="Z21" t="s">
        <v>51</v>
      </c>
      <c r="AA21" t="s">
        <v>18</v>
      </c>
      <c r="AB21" t="s">
        <v>19</v>
      </c>
      <c r="AC21" t="s">
        <v>20</v>
      </c>
      <c r="AD21" t="s">
        <v>12</v>
      </c>
      <c r="AE21" t="s">
        <v>21</v>
      </c>
      <c r="AF21" s="5">
        <v>67.8</v>
      </c>
      <c r="AG21" s="2">
        <v>16475.400000000001</v>
      </c>
      <c r="AH21" t="s">
        <v>22</v>
      </c>
      <c r="AI21" s="4">
        <v>46356</v>
      </c>
      <c r="AJ21" s="4">
        <v>46360</v>
      </c>
      <c r="AK21" s="4">
        <v>46227</v>
      </c>
      <c r="AL21" t="s">
        <v>2</v>
      </c>
      <c r="AM21" t="s">
        <v>2</v>
      </c>
      <c r="AN21" t="s">
        <v>23</v>
      </c>
    </row>
    <row r="22" spans="1:40" x14ac:dyDescent="0.25">
      <c r="A22" t="s">
        <v>0</v>
      </c>
      <c r="B22" t="s">
        <v>1</v>
      </c>
      <c r="C22" t="s">
        <v>2</v>
      </c>
      <c r="D22" t="s">
        <v>47</v>
      </c>
      <c r="E22" t="s">
        <v>48</v>
      </c>
      <c r="F22" t="s">
        <v>68</v>
      </c>
      <c r="G22" t="s">
        <v>6</v>
      </c>
      <c r="H22" t="str">
        <f t="shared" si="0"/>
        <v>PXCBC-M67115LZZ</v>
      </c>
      <c r="I22" t="s">
        <v>70</v>
      </c>
      <c r="J22" t="s">
        <v>53</v>
      </c>
      <c r="K22" t="s">
        <v>54</v>
      </c>
      <c r="L22" s="2">
        <v>86</v>
      </c>
      <c r="M22" s="3">
        <v>1</v>
      </c>
      <c r="N22" t="s">
        <v>27</v>
      </c>
      <c r="O22" s="4">
        <v>46356</v>
      </c>
      <c r="P22" t="s">
        <v>11</v>
      </c>
      <c r="Q22" t="s">
        <v>2</v>
      </c>
      <c r="R22" t="s">
        <v>12</v>
      </c>
      <c r="S22" s="4">
        <v>46227</v>
      </c>
      <c r="T22" t="s">
        <v>13</v>
      </c>
      <c r="U22" t="s">
        <v>2</v>
      </c>
      <c r="V22" t="s">
        <v>14</v>
      </c>
      <c r="W22" t="s">
        <v>15</v>
      </c>
      <c r="X22" t="s">
        <v>16</v>
      </c>
      <c r="Y22" t="s">
        <v>51</v>
      </c>
      <c r="Z22" t="s">
        <v>51</v>
      </c>
      <c r="AA22" t="s">
        <v>18</v>
      </c>
      <c r="AB22" t="s">
        <v>19</v>
      </c>
      <c r="AC22" t="s">
        <v>20</v>
      </c>
      <c r="AD22" t="s">
        <v>12</v>
      </c>
      <c r="AE22" t="s">
        <v>21</v>
      </c>
      <c r="AF22" s="5">
        <v>86</v>
      </c>
      <c r="AG22" s="2">
        <v>86</v>
      </c>
      <c r="AH22" t="s">
        <v>22</v>
      </c>
      <c r="AI22" s="4">
        <v>46356</v>
      </c>
      <c r="AJ22" s="4">
        <v>46360</v>
      </c>
      <c r="AK22" s="4">
        <v>46227</v>
      </c>
      <c r="AL22" t="s">
        <v>2</v>
      </c>
      <c r="AM22" t="s">
        <v>2</v>
      </c>
      <c r="AN22" t="s">
        <v>23</v>
      </c>
    </row>
    <row r="23" spans="1:40" x14ac:dyDescent="0.25">
      <c r="A23" t="s">
        <v>0</v>
      </c>
      <c r="B23" t="s">
        <v>1</v>
      </c>
      <c r="C23" t="s">
        <v>2</v>
      </c>
      <c r="D23" t="s">
        <v>47</v>
      </c>
      <c r="E23" t="s">
        <v>48</v>
      </c>
      <c r="F23" t="s">
        <v>68</v>
      </c>
      <c r="G23" t="s">
        <v>6</v>
      </c>
      <c r="H23" t="str">
        <f t="shared" si="0"/>
        <v>PXCBC-F67008DAB</v>
      </c>
      <c r="I23" t="s">
        <v>71</v>
      </c>
      <c r="J23" t="s">
        <v>42</v>
      </c>
      <c r="K23" t="s">
        <v>43</v>
      </c>
      <c r="L23" s="2">
        <v>67.8</v>
      </c>
      <c r="M23" s="3">
        <v>225</v>
      </c>
      <c r="N23" t="s">
        <v>45</v>
      </c>
      <c r="O23" s="4">
        <v>46356</v>
      </c>
      <c r="P23" t="s">
        <v>11</v>
      </c>
      <c r="Q23" t="s">
        <v>2</v>
      </c>
      <c r="R23" t="s">
        <v>12</v>
      </c>
      <c r="S23" s="4">
        <v>46227</v>
      </c>
      <c r="T23" t="s">
        <v>13</v>
      </c>
      <c r="U23" t="s">
        <v>2</v>
      </c>
      <c r="V23" t="s">
        <v>14</v>
      </c>
      <c r="W23" t="s">
        <v>15</v>
      </c>
      <c r="X23" t="s">
        <v>16</v>
      </c>
      <c r="Y23" t="s">
        <v>51</v>
      </c>
      <c r="Z23" t="s">
        <v>51</v>
      </c>
      <c r="AA23" t="s">
        <v>18</v>
      </c>
      <c r="AB23" t="s">
        <v>19</v>
      </c>
      <c r="AC23" t="s">
        <v>20</v>
      </c>
      <c r="AD23" t="s">
        <v>12</v>
      </c>
      <c r="AE23" t="s">
        <v>21</v>
      </c>
      <c r="AF23" s="5">
        <v>67.8</v>
      </c>
      <c r="AG23" s="2">
        <v>15255</v>
      </c>
      <c r="AH23" t="s">
        <v>22</v>
      </c>
      <c r="AI23" s="4">
        <v>46356</v>
      </c>
      <c r="AJ23" s="4">
        <v>46360</v>
      </c>
      <c r="AK23" s="4">
        <v>46227</v>
      </c>
      <c r="AL23" t="s">
        <v>2</v>
      </c>
      <c r="AM23" t="s">
        <v>2</v>
      </c>
      <c r="AN23" t="s">
        <v>23</v>
      </c>
    </row>
    <row r="24" spans="1:40" x14ac:dyDescent="0.25">
      <c r="A24" t="s">
        <v>0</v>
      </c>
      <c r="B24" t="s">
        <v>1</v>
      </c>
      <c r="C24" t="s">
        <v>2</v>
      </c>
      <c r="D24" t="s">
        <v>72</v>
      </c>
      <c r="E24" t="s">
        <v>73</v>
      </c>
      <c r="F24" t="s">
        <v>74</v>
      </c>
      <c r="G24" t="s">
        <v>6</v>
      </c>
      <c r="H24" t="str">
        <f t="shared" si="0"/>
        <v>PXBMW-F63034FAB</v>
      </c>
      <c r="I24" t="s">
        <v>75</v>
      </c>
      <c r="J24" t="s">
        <v>8</v>
      </c>
      <c r="K24" t="s">
        <v>9</v>
      </c>
      <c r="L24" s="2">
        <v>1</v>
      </c>
      <c r="M24" s="3">
        <v>15</v>
      </c>
      <c r="N24" t="s">
        <v>10</v>
      </c>
      <c r="O24" s="4">
        <v>46356</v>
      </c>
      <c r="P24" t="s">
        <v>11</v>
      </c>
      <c r="Q24" t="s">
        <v>2</v>
      </c>
      <c r="R24" t="s">
        <v>12</v>
      </c>
      <c r="S24" s="4">
        <v>46226</v>
      </c>
      <c r="T24" t="s">
        <v>13</v>
      </c>
      <c r="U24" t="s">
        <v>2</v>
      </c>
      <c r="V24" t="s">
        <v>14</v>
      </c>
      <c r="W24" t="s">
        <v>15</v>
      </c>
      <c r="X24" t="s">
        <v>16</v>
      </c>
      <c r="Y24" t="s">
        <v>51</v>
      </c>
      <c r="Z24" t="s">
        <v>51</v>
      </c>
      <c r="AA24" t="s">
        <v>18</v>
      </c>
      <c r="AB24" t="s">
        <v>19</v>
      </c>
      <c r="AC24" t="s">
        <v>20</v>
      </c>
      <c r="AD24" t="s">
        <v>12</v>
      </c>
      <c r="AE24" t="s">
        <v>21</v>
      </c>
      <c r="AF24" s="5">
        <v>1</v>
      </c>
      <c r="AG24" s="2">
        <v>15</v>
      </c>
      <c r="AH24" t="s">
        <v>22</v>
      </c>
      <c r="AI24" s="4">
        <v>46356</v>
      </c>
      <c r="AJ24" s="4">
        <v>46360</v>
      </c>
      <c r="AK24" s="4">
        <v>46226</v>
      </c>
      <c r="AL24" t="s">
        <v>2</v>
      </c>
      <c r="AM24" t="s">
        <v>2</v>
      </c>
      <c r="AN24" t="s">
        <v>23</v>
      </c>
    </row>
    <row r="25" spans="1:40" x14ac:dyDescent="0.25">
      <c r="A25" t="s">
        <v>0</v>
      </c>
      <c r="B25" t="s">
        <v>1</v>
      </c>
      <c r="C25" t="s">
        <v>2</v>
      </c>
      <c r="D25" t="s">
        <v>72</v>
      </c>
      <c r="E25" t="s">
        <v>73</v>
      </c>
      <c r="F25" t="s">
        <v>74</v>
      </c>
      <c r="G25" t="s">
        <v>6</v>
      </c>
      <c r="H25" t="str">
        <f t="shared" si="0"/>
        <v>COHIZ-F67008IAI</v>
      </c>
      <c r="I25" t="s">
        <v>76</v>
      </c>
      <c r="J25" t="s">
        <v>77</v>
      </c>
      <c r="K25" t="s">
        <v>43</v>
      </c>
      <c r="L25" s="2">
        <v>44.45</v>
      </c>
      <c r="M25" s="3">
        <v>200</v>
      </c>
      <c r="N25" t="s">
        <v>78</v>
      </c>
      <c r="O25" s="4">
        <v>46356</v>
      </c>
      <c r="P25" t="s">
        <v>11</v>
      </c>
      <c r="Q25" t="s">
        <v>2</v>
      </c>
      <c r="R25" t="s">
        <v>12</v>
      </c>
      <c r="S25" s="4">
        <v>46227</v>
      </c>
      <c r="T25" t="s">
        <v>13</v>
      </c>
      <c r="U25" t="s">
        <v>2</v>
      </c>
      <c r="V25" t="s">
        <v>14</v>
      </c>
      <c r="W25" t="s">
        <v>15</v>
      </c>
      <c r="X25" t="s">
        <v>16</v>
      </c>
      <c r="Y25" t="s">
        <v>51</v>
      </c>
      <c r="Z25" t="s">
        <v>51</v>
      </c>
      <c r="AA25" t="s">
        <v>18</v>
      </c>
      <c r="AB25" t="s">
        <v>19</v>
      </c>
      <c r="AC25" t="s">
        <v>20</v>
      </c>
      <c r="AD25" t="s">
        <v>12</v>
      </c>
      <c r="AE25" t="s">
        <v>21</v>
      </c>
      <c r="AF25" s="5">
        <v>44.45</v>
      </c>
      <c r="AG25" s="2">
        <v>8890</v>
      </c>
      <c r="AH25" t="s">
        <v>22</v>
      </c>
      <c r="AI25" s="4">
        <v>46356</v>
      </c>
      <c r="AJ25" s="4">
        <v>46360</v>
      </c>
      <c r="AK25" s="4">
        <v>46227</v>
      </c>
      <c r="AL25" t="s">
        <v>2</v>
      </c>
      <c r="AM25" t="s">
        <v>2</v>
      </c>
      <c r="AN25" t="s">
        <v>23</v>
      </c>
    </row>
    <row r="26" spans="1:40" x14ac:dyDescent="0.25">
      <c r="A26" t="s">
        <v>0</v>
      </c>
      <c r="B26" t="s">
        <v>1</v>
      </c>
      <c r="C26" t="s">
        <v>2</v>
      </c>
      <c r="D26" t="s">
        <v>72</v>
      </c>
      <c r="E26" t="s">
        <v>73</v>
      </c>
      <c r="F26" t="s">
        <v>74</v>
      </c>
      <c r="G26" t="s">
        <v>6</v>
      </c>
      <c r="H26" t="str">
        <f t="shared" si="0"/>
        <v>PXBHZ-F65101LZZ</v>
      </c>
      <c r="I26" t="s">
        <v>79</v>
      </c>
      <c r="J26" t="s">
        <v>80</v>
      </c>
      <c r="K26" t="s">
        <v>81</v>
      </c>
      <c r="L26" s="2">
        <v>23.5</v>
      </c>
      <c r="M26" s="3">
        <v>30</v>
      </c>
      <c r="N26" t="s">
        <v>82</v>
      </c>
      <c r="O26" s="4">
        <v>46356</v>
      </c>
      <c r="P26" t="s">
        <v>11</v>
      </c>
      <c r="Q26" t="s">
        <v>2</v>
      </c>
      <c r="R26" t="s">
        <v>12</v>
      </c>
      <c r="S26" s="4">
        <v>46227</v>
      </c>
      <c r="T26" t="s">
        <v>13</v>
      </c>
      <c r="U26" t="s">
        <v>2</v>
      </c>
      <c r="V26" t="s">
        <v>14</v>
      </c>
      <c r="W26" t="s">
        <v>15</v>
      </c>
      <c r="X26" t="s">
        <v>16</v>
      </c>
      <c r="Y26" t="s">
        <v>51</v>
      </c>
      <c r="Z26" t="s">
        <v>51</v>
      </c>
      <c r="AA26" t="s">
        <v>18</v>
      </c>
      <c r="AB26" t="s">
        <v>19</v>
      </c>
      <c r="AC26" t="s">
        <v>83</v>
      </c>
      <c r="AD26" t="s">
        <v>84</v>
      </c>
      <c r="AE26" t="s">
        <v>21</v>
      </c>
      <c r="AF26" s="5">
        <v>23.5</v>
      </c>
      <c r="AG26" s="2">
        <v>705</v>
      </c>
      <c r="AH26" t="s">
        <v>22</v>
      </c>
      <c r="AI26" s="4">
        <v>46356</v>
      </c>
      <c r="AJ26" s="4">
        <v>46360</v>
      </c>
      <c r="AK26" s="4">
        <v>46227</v>
      </c>
      <c r="AL26" t="s">
        <v>2</v>
      </c>
      <c r="AM26" t="s">
        <v>2</v>
      </c>
      <c r="AN26" t="s">
        <v>23</v>
      </c>
    </row>
    <row r="27" spans="1:40" x14ac:dyDescent="0.25">
      <c r="A27" t="s">
        <v>0</v>
      </c>
      <c r="B27" t="s">
        <v>1</v>
      </c>
      <c r="C27" t="s">
        <v>2</v>
      </c>
      <c r="D27" t="s">
        <v>72</v>
      </c>
      <c r="E27" t="s">
        <v>73</v>
      </c>
      <c r="F27" t="s">
        <v>74</v>
      </c>
      <c r="G27" t="s">
        <v>6</v>
      </c>
      <c r="H27" t="str">
        <f t="shared" si="0"/>
        <v>PXBHZ-F65101CAD</v>
      </c>
      <c r="I27" t="s">
        <v>79</v>
      </c>
      <c r="J27" t="s">
        <v>80</v>
      </c>
      <c r="K27" t="s">
        <v>81</v>
      </c>
      <c r="L27" s="2">
        <v>23.5</v>
      </c>
      <c r="M27" s="3">
        <v>30</v>
      </c>
      <c r="N27" t="s">
        <v>85</v>
      </c>
      <c r="O27" s="4">
        <v>46356</v>
      </c>
      <c r="P27" t="s">
        <v>11</v>
      </c>
      <c r="Q27" t="s">
        <v>2</v>
      </c>
      <c r="R27" t="s">
        <v>12</v>
      </c>
      <c r="S27" s="4">
        <v>46227</v>
      </c>
      <c r="T27" t="s">
        <v>13</v>
      </c>
      <c r="U27" t="s">
        <v>2</v>
      </c>
      <c r="V27" t="s">
        <v>14</v>
      </c>
      <c r="W27" t="s">
        <v>15</v>
      </c>
      <c r="X27" t="s">
        <v>16</v>
      </c>
      <c r="Y27" t="s">
        <v>51</v>
      </c>
      <c r="Z27" t="s">
        <v>51</v>
      </c>
      <c r="AA27" t="s">
        <v>18</v>
      </c>
      <c r="AB27" t="s">
        <v>19</v>
      </c>
      <c r="AC27" t="s">
        <v>83</v>
      </c>
      <c r="AD27" t="s">
        <v>34</v>
      </c>
      <c r="AE27" t="s">
        <v>21</v>
      </c>
      <c r="AF27" s="5">
        <v>23.5</v>
      </c>
      <c r="AG27" s="2">
        <v>705</v>
      </c>
      <c r="AH27" t="s">
        <v>22</v>
      </c>
      <c r="AI27" s="4">
        <v>46356</v>
      </c>
      <c r="AJ27" s="4">
        <v>46360</v>
      </c>
      <c r="AK27" s="4">
        <v>46227</v>
      </c>
      <c r="AL27" t="s">
        <v>2</v>
      </c>
      <c r="AM27" t="s">
        <v>2</v>
      </c>
      <c r="AN27" t="s">
        <v>23</v>
      </c>
    </row>
    <row r="28" spans="1:40" x14ac:dyDescent="0.25">
      <c r="A28" t="s">
        <v>0</v>
      </c>
      <c r="B28" t="s">
        <v>1</v>
      </c>
      <c r="C28" t="s">
        <v>2</v>
      </c>
      <c r="D28" t="s">
        <v>72</v>
      </c>
      <c r="E28" t="s">
        <v>73</v>
      </c>
      <c r="F28" t="s">
        <v>74</v>
      </c>
      <c r="G28" t="s">
        <v>6</v>
      </c>
      <c r="H28" t="str">
        <f t="shared" si="0"/>
        <v>PXBHZ-F65101LZZ</v>
      </c>
      <c r="I28" t="s">
        <v>79</v>
      </c>
      <c r="J28" t="s">
        <v>80</v>
      </c>
      <c r="K28" t="s">
        <v>81</v>
      </c>
      <c r="L28" s="2">
        <v>23.5</v>
      </c>
      <c r="M28" s="3">
        <v>30</v>
      </c>
      <c r="N28" t="s">
        <v>86</v>
      </c>
      <c r="O28" s="4">
        <v>46356</v>
      </c>
      <c r="P28" t="s">
        <v>11</v>
      </c>
      <c r="Q28" t="s">
        <v>2</v>
      </c>
      <c r="R28" t="s">
        <v>12</v>
      </c>
      <c r="S28" s="4">
        <v>46227</v>
      </c>
      <c r="T28" t="s">
        <v>13</v>
      </c>
      <c r="U28" t="s">
        <v>2</v>
      </c>
      <c r="V28" t="s">
        <v>14</v>
      </c>
      <c r="W28" t="s">
        <v>15</v>
      </c>
      <c r="X28" t="s">
        <v>16</v>
      </c>
      <c r="Y28" t="s">
        <v>51</v>
      </c>
      <c r="Z28" t="s">
        <v>51</v>
      </c>
      <c r="AA28" t="s">
        <v>18</v>
      </c>
      <c r="AB28" t="s">
        <v>19</v>
      </c>
      <c r="AC28" t="s">
        <v>87</v>
      </c>
      <c r="AD28" t="s">
        <v>88</v>
      </c>
      <c r="AE28" t="s">
        <v>21</v>
      </c>
      <c r="AF28" s="5">
        <v>23.5</v>
      </c>
      <c r="AG28" s="2">
        <v>705</v>
      </c>
      <c r="AH28" t="s">
        <v>22</v>
      </c>
      <c r="AI28" s="4">
        <v>46356</v>
      </c>
      <c r="AJ28" s="4">
        <v>46360</v>
      </c>
      <c r="AK28" s="4">
        <v>46227</v>
      </c>
      <c r="AL28" t="s">
        <v>2</v>
      </c>
      <c r="AM28" t="s">
        <v>2</v>
      </c>
      <c r="AN28" t="s">
        <v>23</v>
      </c>
    </row>
    <row r="29" spans="1:40" x14ac:dyDescent="0.25">
      <c r="A29" t="s">
        <v>0</v>
      </c>
      <c r="B29" t="s">
        <v>1</v>
      </c>
      <c r="C29" t="s">
        <v>2</v>
      </c>
      <c r="D29" t="s">
        <v>72</v>
      </c>
      <c r="E29" t="s">
        <v>73</v>
      </c>
      <c r="F29" t="s">
        <v>74</v>
      </c>
      <c r="G29" t="s">
        <v>6</v>
      </c>
      <c r="H29" t="str">
        <f t="shared" si="0"/>
        <v>PXBHZ-F65101CAD</v>
      </c>
      <c r="I29" t="s">
        <v>79</v>
      </c>
      <c r="J29" t="s">
        <v>80</v>
      </c>
      <c r="K29" t="s">
        <v>81</v>
      </c>
      <c r="L29" s="2">
        <v>23.5</v>
      </c>
      <c r="M29" s="3">
        <v>30</v>
      </c>
      <c r="N29" t="s">
        <v>89</v>
      </c>
      <c r="O29" s="4">
        <v>46356</v>
      </c>
      <c r="P29" t="s">
        <v>11</v>
      </c>
      <c r="Q29" t="s">
        <v>2</v>
      </c>
      <c r="R29" t="s">
        <v>12</v>
      </c>
      <c r="S29" s="4">
        <v>46227</v>
      </c>
      <c r="T29" t="s">
        <v>13</v>
      </c>
      <c r="U29" t="s">
        <v>2</v>
      </c>
      <c r="V29" t="s">
        <v>14</v>
      </c>
      <c r="W29" t="s">
        <v>15</v>
      </c>
      <c r="X29" t="s">
        <v>16</v>
      </c>
      <c r="Y29" t="s">
        <v>51</v>
      </c>
      <c r="Z29" t="s">
        <v>51</v>
      </c>
      <c r="AA29" t="s">
        <v>18</v>
      </c>
      <c r="AB29" t="s">
        <v>19</v>
      </c>
      <c r="AC29" t="s">
        <v>87</v>
      </c>
      <c r="AD29" t="s">
        <v>12</v>
      </c>
      <c r="AE29" t="s">
        <v>21</v>
      </c>
      <c r="AF29" s="5">
        <v>23.5</v>
      </c>
      <c r="AG29" s="2">
        <v>705</v>
      </c>
      <c r="AH29" t="s">
        <v>22</v>
      </c>
      <c r="AI29" s="4">
        <v>46356</v>
      </c>
      <c r="AJ29" s="4">
        <v>46360</v>
      </c>
      <c r="AK29" s="4">
        <v>46227</v>
      </c>
      <c r="AL29" t="s">
        <v>2</v>
      </c>
      <c r="AM29" t="s">
        <v>2</v>
      </c>
      <c r="AN29" t="s">
        <v>23</v>
      </c>
    </row>
    <row r="30" spans="1:40" x14ac:dyDescent="0.25">
      <c r="A30" t="s">
        <v>0</v>
      </c>
      <c r="B30" t="s">
        <v>1</v>
      </c>
      <c r="C30" t="s">
        <v>2</v>
      </c>
      <c r="D30" t="s">
        <v>72</v>
      </c>
      <c r="E30" t="s">
        <v>73</v>
      </c>
      <c r="F30" t="s">
        <v>74</v>
      </c>
      <c r="G30" t="s">
        <v>6</v>
      </c>
      <c r="H30" t="str">
        <f t="shared" si="0"/>
        <v>PXBHZ-H65077LZZ</v>
      </c>
      <c r="I30" t="s">
        <v>90</v>
      </c>
      <c r="J30" t="s">
        <v>91</v>
      </c>
      <c r="K30" t="s">
        <v>92</v>
      </c>
      <c r="L30" s="2">
        <v>32.1</v>
      </c>
      <c r="M30" s="3">
        <v>40</v>
      </c>
      <c r="N30" t="s">
        <v>93</v>
      </c>
      <c r="O30" s="4">
        <v>46356</v>
      </c>
      <c r="P30" t="s">
        <v>11</v>
      </c>
      <c r="Q30" t="s">
        <v>2</v>
      </c>
      <c r="R30" t="s">
        <v>12</v>
      </c>
      <c r="S30" s="4">
        <v>46227</v>
      </c>
      <c r="T30" t="s">
        <v>13</v>
      </c>
      <c r="U30" t="s">
        <v>2</v>
      </c>
      <c r="V30" t="s">
        <v>14</v>
      </c>
      <c r="W30" t="s">
        <v>15</v>
      </c>
      <c r="X30" t="s">
        <v>16</v>
      </c>
      <c r="Y30" t="s">
        <v>51</v>
      </c>
      <c r="Z30" t="s">
        <v>51</v>
      </c>
      <c r="AA30" t="s">
        <v>18</v>
      </c>
      <c r="AB30" t="s">
        <v>19</v>
      </c>
      <c r="AC30" t="s">
        <v>94</v>
      </c>
      <c r="AD30" t="s">
        <v>12</v>
      </c>
      <c r="AE30" t="s">
        <v>21</v>
      </c>
      <c r="AF30" s="5">
        <v>32.1</v>
      </c>
      <c r="AG30" s="2">
        <v>1284</v>
      </c>
      <c r="AH30" t="s">
        <v>22</v>
      </c>
      <c r="AI30" s="4">
        <v>46356</v>
      </c>
      <c r="AJ30" s="4">
        <v>46360</v>
      </c>
      <c r="AK30" s="4">
        <v>46227</v>
      </c>
      <c r="AL30" t="s">
        <v>2</v>
      </c>
      <c r="AM30" t="s">
        <v>2</v>
      </c>
      <c r="AN30" t="s">
        <v>23</v>
      </c>
    </row>
    <row r="31" spans="1:40" x14ac:dyDescent="0.25">
      <c r="A31" t="s">
        <v>0</v>
      </c>
      <c r="B31" t="s">
        <v>1</v>
      </c>
      <c r="C31" t="s">
        <v>2</v>
      </c>
      <c r="D31" t="s">
        <v>72</v>
      </c>
      <c r="E31" t="s">
        <v>73</v>
      </c>
      <c r="F31" t="s">
        <v>74</v>
      </c>
      <c r="G31" t="s">
        <v>6</v>
      </c>
      <c r="H31" t="str">
        <f t="shared" si="0"/>
        <v>PXBHZ-H65077LZZ</v>
      </c>
      <c r="I31" t="s">
        <v>90</v>
      </c>
      <c r="J31" t="s">
        <v>91</v>
      </c>
      <c r="K31" t="s">
        <v>92</v>
      </c>
      <c r="L31" s="2">
        <v>32.1</v>
      </c>
      <c r="M31" s="3">
        <v>40</v>
      </c>
      <c r="N31" t="s">
        <v>95</v>
      </c>
      <c r="O31" s="4">
        <v>46356</v>
      </c>
      <c r="P31" t="s">
        <v>11</v>
      </c>
      <c r="Q31" t="s">
        <v>2</v>
      </c>
      <c r="R31" t="s">
        <v>12</v>
      </c>
      <c r="S31" s="4">
        <v>46227</v>
      </c>
      <c r="T31" t="s">
        <v>13</v>
      </c>
      <c r="U31" t="s">
        <v>2</v>
      </c>
      <c r="V31" t="s">
        <v>14</v>
      </c>
      <c r="W31" t="s">
        <v>15</v>
      </c>
      <c r="X31" t="s">
        <v>16</v>
      </c>
      <c r="Y31" t="s">
        <v>51</v>
      </c>
      <c r="Z31" t="s">
        <v>51</v>
      </c>
      <c r="AA31" t="s">
        <v>18</v>
      </c>
      <c r="AB31" t="s">
        <v>19</v>
      </c>
      <c r="AC31" t="s">
        <v>96</v>
      </c>
      <c r="AD31" t="s">
        <v>34</v>
      </c>
      <c r="AE31" t="s">
        <v>21</v>
      </c>
      <c r="AF31" s="5">
        <v>32.1</v>
      </c>
      <c r="AG31" s="2">
        <v>1284</v>
      </c>
      <c r="AH31" t="s">
        <v>22</v>
      </c>
      <c r="AI31" s="4">
        <v>46356</v>
      </c>
      <c r="AJ31" s="4">
        <v>46360</v>
      </c>
      <c r="AK31" s="4">
        <v>46227</v>
      </c>
      <c r="AL31" t="s">
        <v>2</v>
      </c>
      <c r="AM31" t="s">
        <v>2</v>
      </c>
      <c r="AN31" t="s">
        <v>23</v>
      </c>
    </row>
    <row r="32" spans="1:40" x14ac:dyDescent="0.25">
      <c r="A32" t="s">
        <v>0</v>
      </c>
      <c r="B32" t="s">
        <v>1</v>
      </c>
      <c r="C32" t="s">
        <v>2</v>
      </c>
      <c r="D32" t="s">
        <v>72</v>
      </c>
      <c r="E32" t="s">
        <v>73</v>
      </c>
      <c r="F32" t="s">
        <v>74</v>
      </c>
      <c r="G32" t="s">
        <v>6</v>
      </c>
      <c r="H32" t="str">
        <f t="shared" si="0"/>
        <v>PXCBC-F63033LZZ</v>
      </c>
      <c r="I32" t="s">
        <v>97</v>
      </c>
      <c r="J32" t="s">
        <v>98</v>
      </c>
      <c r="K32" t="s">
        <v>99</v>
      </c>
      <c r="L32" s="2">
        <v>1</v>
      </c>
      <c r="M32" s="3">
        <v>50</v>
      </c>
      <c r="N32" t="s">
        <v>27</v>
      </c>
      <c r="O32" s="4">
        <v>46356</v>
      </c>
      <c r="P32" t="s">
        <v>11</v>
      </c>
      <c r="Q32" t="s">
        <v>2</v>
      </c>
      <c r="R32" t="s">
        <v>12</v>
      </c>
      <c r="S32" s="4">
        <v>46227</v>
      </c>
      <c r="T32" t="s">
        <v>13</v>
      </c>
      <c r="U32" t="s">
        <v>2</v>
      </c>
      <c r="V32" t="s">
        <v>14</v>
      </c>
      <c r="W32" t="s">
        <v>15</v>
      </c>
      <c r="X32" t="s">
        <v>16</v>
      </c>
      <c r="Y32" t="s">
        <v>51</v>
      </c>
      <c r="Z32" t="s">
        <v>51</v>
      </c>
      <c r="AA32" t="s">
        <v>18</v>
      </c>
      <c r="AB32" t="s">
        <v>19</v>
      </c>
      <c r="AC32" t="s">
        <v>20</v>
      </c>
      <c r="AD32" t="s">
        <v>12</v>
      </c>
      <c r="AE32" t="s">
        <v>21</v>
      </c>
      <c r="AF32" s="5">
        <v>1</v>
      </c>
      <c r="AG32" s="2">
        <v>50</v>
      </c>
      <c r="AH32" t="s">
        <v>22</v>
      </c>
      <c r="AI32" s="4">
        <v>46356</v>
      </c>
      <c r="AJ32" s="4">
        <v>46360</v>
      </c>
      <c r="AK32" s="4">
        <v>46227</v>
      </c>
      <c r="AL32" t="s">
        <v>2</v>
      </c>
      <c r="AM32" t="s">
        <v>2</v>
      </c>
      <c r="AN32" t="s">
        <v>23</v>
      </c>
    </row>
    <row r="33" spans="1:40" x14ac:dyDescent="0.25">
      <c r="A33" t="s">
        <v>0</v>
      </c>
      <c r="B33" t="s">
        <v>1</v>
      </c>
      <c r="C33" t="s">
        <v>2</v>
      </c>
      <c r="D33" t="s">
        <v>72</v>
      </c>
      <c r="E33" t="s">
        <v>73</v>
      </c>
      <c r="F33" t="s">
        <v>74</v>
      </c>
      <c r="G33" t="s">
        <v>6</v>
      </c>
      <c r="H33" t="str">
        <f t="shared" si="0"/>
        <v>PXCBC-F63037DAB</v>
      </c>
      <c r="I33" t="s">
        <v>100</v>
      </c>
      <c r="J33" t="s">
        <v>101</v>
      </c>
      <c r="K33" t="s">
        <v>102</v>
      </c>
      <c r="L33" s="2">
        <v>38.75</v>
      </c>
      <c r="M33" s="3">
        <v>16</v>
      </c>
      <c r="N33" t="s">
        <v>45</v>
      </c>
      <c r="O33" s="4">
        <v>46356</v>
      </c>
      <c r="P33" t="s">
        <v>11</v>
      </c>
      <c r="Q33" t="s">
        <v>2</v>
      </c>
      <c r="R33" t="s">
        <v>12</v>
      </c>
      <c r="S33" s="4">
        <v>46227</v>
      </c>
      <c r="T33" t="s">
        <v>13</v>
      </c>
      <c r="U33" t="s">
        <v>2</v>
      </c>
      <c r="V33" t="s">
        <v>14</v>
      </c>
      <c r="W33" t="s">
        <v>15</v>
      </c>
      <c r="X33" t="s">
        <v>16</v>
      </c>
      <c r="Y33" t="s">
        <v>51</v>
      </c>
      <c r="Z33" t="s">
        <v>51</v>
      </c>
      <c r="AA33" t="s">
        <v>18</v>
      </c>
      <c r="AB33" t="s">
        <v>19</v>
      </c>
      <c r="AC33" t="s">
        <v>20</v>
      </c>
      <c r="AD33" t="s">
        <v>12</v>
      </c>
      <c r="AE33" t="s">
        <v>21</v>
      </c>
      <c r="AF33" s="5">
        <v>38.75</v>
      </c>
      <c r="AG33" s="2">
        <v>620</v>
      </c>
      <c r="AH33" t="s">
        <v>22</v>
      </c>
      <c r="AI33" s="4">
        <v>46356</v>
      </c>
      <c r="AJ33" s="4">
        <v>46360</v>
      </c>
      <c r="AK33" s="4">
        <v>46227</v>
      </c>
      <c r="AL33" t="s">
        <v>2</v>
      </c>
      <c r="AM33" t="s">
        <v>2</v>
      </c>
      <c r="AN33" t="s">
        <v>23</v>
      </c>
    </row>
    <row r="34" spans="1:40" x14ac:dyDescent="0.25">
      <c r="A34" t="s">
        <v>0</v>
      </c>
      <c r="B34" t="s">
        <v>1</v>
      </c>
      <c r="C34" t="s">
        <v>2</v>
      </c>
      <c r="D34" t="s">
        <v>72</v>
      </c>
      <c r="E34" t="s">
        <v>73</v>
      </c>
      <c r="F34" t="s">
        <v>74</v>
      </c>
      <c r="G34" t="s">
        <v>6</v>
      </c>
      <c r="H34" t="str">
        <f t="shared" si="0"/>
        <v>PXCBC-F67081LZZ</v>
      </c>
      <c r="I34" t="s">
        <v>103</v>
      </c>
      <c r="J34" t="s">
        <v>63</v>
      </c>
      <c r="K34" t="s">
        <v>33</v>
      </c>
      <c r="L34" s="2">
        <v>38.5</v>
      </c>
      <c r="M34" s="3">
        <v>300</v>
      </c>
      <c r="N34" t="s">
        <v>27</v>
      </c>
      <c r="O34" s="4">
        <v>46356</v>
      </c>
      <c r="P34" t="s">
        <v>11</v>
      </c>
      <c r="Q34" t="s">
        <v>2</v>
      </c>
      <c r="R34" t="s">
        <v>12</v>
      </c>
      <c r="S34" s="4">
        <v>46227</v>
      </c>
      <c r="T34" t="s">
        <v>13</v>
      </c>
      <c r="U34" t="s">
        <v>2</v>
      </c>
      <c r="V34" t="s">
        <v>14</v>
      </c>
      <c r="W34" t="s">
        <v>15</v>
      </c>
      <c r="X34" t="s">
        <v>16</v>
      </c>
      <c r="Y34" t="s">
        <v>51</v>
      </c>
      <c r="Z34" t="s">
        <v>51</v>
      </c>
      <c r="AA34" t="s">
        <v>18</v>
      </c>
      <c r="AB34" t="s">
        <v>19</v>
      </c>
      <c r="AC34" t="s">
        <v>20</v>
      </c>
      <c r="AD34" t="s">
        <v>12</v>
      </c>
      <c r="AE34" t="s">
        <v>21</v>
      </c>
      <c r="AF34" s="5">
        <v>38.5</v>
      </c>
      <c r="AG34" s="2">
        <v>11550</v>
      </c>
      <c r="AH34" t="s">
        <v>22</v>
      </c>
      <c r="AI34" s="4">
        <v>46356</v>
      </c>
      <c r="AJ34" s="4">
        <v>46360</v>
      </c>
      <c r="AK34" s="4">
        <v>46227</v>
      </c>
      <c r="AL34" t="s">
        <v>2</v>
      </c>
      <c r="AM34" t="s">
        <v>2</v>
      </c>
      <c r="AN34" t="s">
        <v>23</v>
      </c>
    </row>
    <row r="35" spans="1:40" x14ac:dyDescent="0.25">
      <c r="A35" t="s">
        <v>0</v>
      </c>
      <c r="B35" t="s">
        <v>1</v>
      </c>
      <c r="C35" t="s">
        <v>2</v>
      </c>
      <c r="D35" t="s">
        <v>72</v>
      </c>
      <c r="E35" t="s">
        <v>73</v>
      </c>
      <c r="F35" t="s">
        <v>74</v>
      </c>
      <c r="G35" t="s">
        <v>6</v>
      </c>
      <c r="H35" t="str">
        <f t="shared" si="0"/>
        <v>PXCBC-M65222LZZ</v>
      </c>
      <c r="I35" t="s">
        <v>104</v>
      </c>
      <c r="J35" t="s">
        <v>105</v>
      </c>
      <c r="K35" t="s">
        <v>106</v>
      </c>
      <c r="L35" s="2">
        <v>21.35</v>
      </c>
      <c r="M35" s="3">
        <v>1</v>
      </c>
      <c r="N35" t="s">
        <v>107</v>
      </c>
      <c r="O35" s="4">
        <v>46356</v>
      </c>
      <c r="P35" t="s">
        <v>11</v>
      </c>
      <c r="Q35" t="s">
        <v>2</v>
      </c>
      <c r="R35" t="s">
        <v>12</v>
      </c>
      <c r="S35" s="4">
        <v>46227</v>
      </c>
      <c r="T35" t="s">
        <v>13</v>
      </c>
      <c r="U35" t="s">
        <v>2</v>
      </c>
      <c r="V35" t="s">
        <v>14</v>
      </c>
      <c r="W35" t="s">
        <v>15</v>
      </c>
      <c r="X35" t="s">
        <v>16</v>
      </c>
      <c r="Y35" t="s">
        <v>51</v>
      </c>
      <c r="Z35" t="s">
        <v>51</v>
      </c>
      <c r="AA35" t="s">
        <v>18</v>
      </c>
      <c r="AB35" t="s">
        <v>19</v>
      </c>
      <c r="AC35" t="s">
        <v>108</v>
      </c>
      <c r="AD35" t="s">
        <v>12</v>
      </c>
      <c r="AE35" t="s">
        <v>21</v>
      </c>
      <c r="AF35" s="5">
        <v>21.35</v>
      </c>
      <c r="AG35" s="2">
        <v>21.35</v>
      </c>
      <c r="AH35" t="s">
        <v>22</v>
      </c>
      <c r="AI35" s="4">
        <v>46356</v>
      </c>
      <c r="AJ35" s="4">
        <v>46360</v>
      </c>
      <c r="AK35" s="4">
        <v>46227</v>
      </c>
      <c r="AL35" t="s">
        <v>2</v>
      </c>
      <c r="AM35" t="s">
        <v>2</v>
      </c>
      <c r="AN35" t="s">
        <v>23</v>
      </c>
    </row>
    <row r="36" spans="1:40" x14ac:dyDescent="0.25">
      <c r="A36" t="s">
        <v>0</v>
      </c>
      <c r="B36" t="s">
        <v>1</v>
      </c>
      <c r="C36" t="s">
        <v>2</v>
      </c>
      <c r="D36" t="s">
        <v>72</v>
      </c>
      <c r="E36" t="s">
        <v>73</v>
      </c>
      <c r="F36" t="s">
        <v>74</v>
      </c>
      <c r="G36" t="s">
        <v>6</v>
      </c>
      <c r="H36" t="str">
        <f t="shared" si="0"/>
        <v>PXCBC-M67115LZZ</v>
      </c>
      <c r="I36" t="s">
        <v>109</v>
      </c>
      <c r="J36" t="s">
        <v>53</v>
      </c>
      <c r="K36" t="s">
        <v>54</v>
      </c>
      <c r="L36" s="2">
        <v>86</v>
      </c>
      <c r="M36" s="3">
        <v>30</v>
      </c>
      <c r="N36" t="s">
        <v>27</v>
      </c>
      <c r="O36" s="4">
        <v>46356</v>
      </c>
      <c r="P36" t="s">
        <v>11</v>
      </c>
      <c r="Q36" t="s">
        <v>2</v>
      </c>
      <c r="R36" t="s">
        <v>12</v>
      </c>
      <c r="S36" s="4">
        <v>46227</v>
      </c>
      <c r="T36" t="s">
        <v>13</v>
      </c>
      <c r="U36" t="s">
        <v>2</v>
      </c>
      <c r="V36" t="s">
        <v>14</v>
      </c>
      <c r="W36" t="s">
        <v>15</v>
      </c>
      <c r="X36" t="s">
        <v>16</v>
      </c>
      <c r="Y36" t="s">
        <v>51</v>
      </c>
      <c r="Z36" t="s">
        <v>51</v>
      </c>
      <c r="AA36" t="s">
        <v>18</v>
      </c>
      <c r="AB36" t="s">
        <v>19</v>
      </c>
      <c r="AC36" t="s">
        <v>20</v>
      </c>
      <c r="AD36" t="s">
        <v>12</v>
      </c>
      <c r="AE36" t="s">
        <v>21</v>
      </c>
      <c r="AF36" s="5">
        <v>86</v>
      </c>
      <c r="AG36" s="2">
        <v>2580</v>
      </c>
      <c r="AH36" t="s">
        <v>22</v>
      </c>
      <c r="AI36" s="4">
        <v>46356</v>
      </c>
      <c r="AJ36" s="4">
        <v>46360</v>
      </c>
      <c r="AK36" s="4">
        <v>46227</v>
      </c>
      <c r="AL36" t="s">
        <v>2</v>
      </c>
      <c r="AM36" t="s">
        <v>2</v>
      </c>
      <c r="AN36" t="s">
        <v>23</v>
      </c>
    </row>
    <row r="37" spans="1:40" x14ac:dyDescent="0.25">
      <c r="A37" t="s">
        <v>0</v>
      </c>
      <c r="B37" t="s">
        <v>1</v>
      </c>
      <c r="C37" t="s">
        <v>2</v>
      </c>
      <c r="D37" t="s">
        <v>72</v>
      </c>
      <c r="E37" t="s">
        <v>73</v>
      </c>
      <c r="F37" t="s">
        <v>74</v>
      </c>
      <c r="G37" t="s">
        <v>6</v>
      </c>
      <c r="H37" t="str">
        <f t="shared" si="0"/>
        <v>PXCEU-F67043KBG</v>
      </c>
      <c r="I37" t="s">
        <v>110</v>
      </c>
      <c r="J37" t="s">
        <v>29</v>
      </c>
      <c r="K37" t="s">
        <v>26</v>
      </c>
      <c r="L37" s="2">
        <v>89.68</v>
      </c>
      <c r="M37" s="3">
        <v>50</v>
      </c>
      <c r="N37" t="s">
        <v>30</v>
      </c>
      <c r="O37" s="4">
        <v>46356</v>
      </c>
      <c r="P37" t="s">
        <v>11</v>
      </c>
      <c r="Q37" t="s">
        <v>2</v>
      </c>
      <c r="R37" t="s">
        <v>12</v>
      </c>
      <c r="S37" s="4">
        <v>46227</v>
      </c>
      <c r="T37" t="s">
        <v>13</v>
      </c>
      <c r="U37" t="s">
        <v>2</v>
      </c>
      <c r="V37" t="s">
        <v>14</v>
      </c>
      <c r="W37" t="s">
        <v>15</v>
      </c>
      <c r="X37" t="s">
        <v>16</v>
      </c>
      <c r="Y37" t="s">
        <v>51</v>
      </c>
      <c r="Z37" t="s">
        <v>51</v>
      </c>
      <c r="AA37" t="s">
        <v>18</v>
      </c>
      <c r="AB37" t="s">
        <v>19</v>
      </c>
      <c r="AC37" t="s">
        <v>20</v>
      </c>
      <c r="AD37" t="s">
        <v>12</v>
      </c>
      <c r="AE37" t="s">
        <v>21</v>
      </c>
      <c r="AF37" s="5">
        <v>89.68</v>
      </c>
      <c r="AG37" s="2">
        <v>4484</v>
      </c>
      <c r="AH37" t="s">
        <v>22</v>
      </c>
      <c r="AI37" s="4">
        <v>46356</v>
      </c>
      <c r="AJ37" s="4">
        <v>46360</v>
      </c>
      <c r="AK37" s="4">
        <v>46227</v>
      </c>
      <c r="AL37" t="s">
        <v>2</v>
      </c>
      <c r="AM37" t="s">
        <v>2</v>
      </c>
      <c r="AN37" t="s">
        <v>23</v>
      </c>
    </row>
    <row r="38" spans="1:40" x14ac:dyDescent="0.25">
      <c r="A38" t="s">
        <v>0</v>
      </c>
      <c r="B38" t="s">
        <v>1</v>
      </c>
      <c r="C38" t="s">
        <v>2</v>
      </c>
      <c r="D38" t="s">
        <v>72</v>
      </c>
      <c r="E38" t="s">
        <v>73</v>
      </c>
      <c r="F38" t="s">
        <v>74</v>
      </c>
      <c r="G38" t="s">
        <v>6</v>
      </c>
      <c r="H38" t="str">
        <f t="shared" si="0"/>
        <v>PXCEU-F67081FAB</v>
      </c>
      <c r="I38" t="s">
        <v>111</v>
      </c>
      <c r="J38" t="s">
        <v>32</v>
      </c>
      <c r="K38" t="s">
        <v>33</v>
      </c>
      <c r="L38" s="2">
        <v>45.5</v>
      </c>
      <c r="M38" s="3">
        <v>20</v>
      </c>
      <c r="N38" t="s">
        <v>10</v>
      </c>
      <c r="O38" s="4">
        <v>46356</v>
      </c>
      <c r="P38" t="s">
        <v>11</v>
      </c>
      <c r="Q38" t="s">
        <v>2</v>
      </c>
      <c r="R38" t="s">
        <v>12</v>
      </c>
      <c r="S38" s="4">
        <v>46227</v>
      </c>
      <c r="T38" t="s">
        <v>13</v>
      </c>
      <c r="U38" t="s">
        <v>2</v>
      </c>
      <c r="V38" t="s">
        <v>14</v>
      </c>
      <c r="W38" t="s">
        <v>15</v>
      </c>
      <c r="X38" t="s">
        <v>16</v>
      </c>
      <c r="Y38" t="s">
        <v>51</v>
      </c>
      <c r="Z38" t="s">
        <v>51</v>
      </c>
      <c r="AA38" t="s">
        <v>18</v>
      </c>
      <c r="AB38" t="s">
        <v>19</v>
      </c>
      <c r="AC38" t="s">
        <v>20</v>
      </c>
      <c r="AD38" t="s">
        <v>12</v>
      </c>
      <c r="AE38" t="s">
        <v>21</v>
      </c>
      <c r="AF38" s="5">
        <v>45.5</v>
      </c>
      <c r="AG38" s="2">
        <v>910</v>
      </c>
      <c r="AH38" t="s">
        <v>22</v>
      </c>
      <c r="AI38" s="4">
        <v>46356</v>
      </c>
      <c r="AJ38" s="4">
        <v>46360</v>
      </c>
      <c r="AK38" s="4">
        <v>46227</v>
      </c>
      <c r="AL38" t="s">
        <v>2</v>
      </c>
      <c r="AM38" t="s">
        <v>2</v>
      </c>
      <c r="AN38" t="s">
        <v>23</v>
      </c>
    </row>
    <row r="39" spans="1:40" x14ac:dyDescent="0.25">
      <c r="A39" t="s">
        <v>0</v>
      </c>
      <c r="B39" t="s">
        <v>1</v>
      </c>
      <c r="C39" t="s">
        <v>2</v>
      </c>
      <c r="D39" t="s">
        <v>72</v>
      </c>
      <c r="E39" t="s">
        <v>73</v>
      </c>
      <c r="F39" t="s">
        <v>74</v>
      </c>
      <c r="G39" t="s">
        <v>6</v>
      </c>
      <c r="H39" t="str">
        <f t="shared" si="0"/>
        <v>PXCEV-F63037GAA</v>
      </c>
      <c r="I39" t="s">
        <v>112</v>
      </c>
      <c r="J39" t="s">
        <v>113</v>
      </c>
      <c r="K39" t="s">
        <v>102</v>
      </c>
      <c r="L39" s="2">
        <v>1</v>
      </c>
      <c r="M39" s="3">
        <v>1</v>
      </c>
      <c r="N39" t="s">
        <v>37</v>
      </c>
      <c r="O39" s="4">
        <v>46356</v>
      </c>
      <c r="P39" t="s">
        <v>11</v>
      </c>
      <c r="Q39" t="s">
        <v>2</v>
      </c>
      <c r="R39" t="s">
        <v>12</v>
      </c>
      <c r="S39" s="4">
        <v>46227</v>
      </c>
      <c r="T39" t="s">
        <v>13</v>
      </c>
      <c r="U39" t="s">
        <v>2</v>
      </c>
      <c r="V39" t="s">
        <v>14</v>
      </c>
      <c r="W39" t="s">
        <v>15</v>
      </c>
      <c r="X39" t="s">
        <v>16</v>
      </c>
      <c r="Y39" t="s">
        <v>51</v>
      </c>
      <c r="Z39" t="s">
        <v>51</v>
      </c>
      <c r="AA39" t="s">
        <v>18</v>
      </c>
      <c r="AB39" t="s">
        <v>19</v>
      </c>
      <c r="AC39" t="s">
        <v>20</v>
      </c>
      <c r="AD39" t="s">
        <v>12</v>
      </c>
      <c r="AE39" t="s">
        <v>21</v>
      </c>
      <c r="AF39" s="5">
        <v>1</v>
      </c>
      <c r="AG39" s="2">
        <v>1</v>
      </c>
      <c r="AH39" t="s">
        <v>22</v>
      </c>
      <c r="AI39" s="4">
        <v>46356</v>
      </c>
      <c r="AJ39" s="4">
        <v>46360</v>
      </c>
      <c r="AK39" s="4">
        <v>46227</v>
      </c>
      <c r="AL39" t="s">
        <v>2</v>
      </c>
      <c r="AM39" t="s">
        <v>2</v>
      </c>
      <c r="AN39" t="s">
        <v>23</v>
      </c>
    </row>
    <row r="40" spans="1:40" x14ac:dyDescent="0.25">
      <c r="A40" t="s">
        <v>0</v>
      </c>
      <c r="B40" t="s">
        <v>1</v>
      </c>
      <c r="C40" t="s">
        <v>2</v>
      </c>
      <c r="D40" t="s">
        <v>72</v>
      </c>
      <c r="E40" t="s">
        <v>73</v>
      </c>
      <c r="F40" t="s">
        <v>74</v>
      </c>
      <c r="G40" t="s">
        <v>6</v>
      </c>
      <c r="H40" t="str">
        <f t="shared" si="0"/>
        <v>PXCBC-F67008LZZ</v>
      </c>
      <c r="I40" t="s">
        <v>114</v>
      </c>
      <c r="J40" t="s">
        <v>42</v>
      </c>
      <c r="K40" t="s">
        <v>43</v>
      </c>
      <c r="L40" s="2">
        <v>67.8</v>
      </c>
      <c r="M40" s="3">
        <v>40</v>
      </c>
      <c r="N40" t="s">
        <v>27</v>
      </c>
      <c r="O40" s="4">
        <v>46356</v>
      </c>
      <c r="P40" t="s">
        <v>11</v>
      </c>
      <c r="Q40" t="s">
        <v>2</v>
      </c>
      <c r="R40" t="s">
        <v>12</v>
      </c>
      <c r="S40" s="4">
        <v>46227</v>
      </c>
      <c r="T40" t="s">
        <v>13</v>
      </c>
      <c r="U40" t="s">
        <v>2</v>
      </c>
      <c r="V40" t="s">
        <v>14</v>
      </c>
      <c r="W40" t="s">
        <v>15</v>
      </c>
      <c r="X40" t="s">
        <v>16</v>
      </c>
      <c r="Y40" t="s">
        <v>51</v>
      </c>
      <c r="Z40" t="s">
        <v>51</v>
      </c>
      <c r="AA40" t="s">
        <v>18</v>
      </c>
      <c r="AB40" t="s">
        <v>19</v>
      </c>
      <c r="AC40" t="s">
        <v>20</v>
      </c>
      <c r="AD40" t="s">
        <v>34</v>
      </c>
      <c r="AE40" t="s">
        <v>21</v>
      </c>
      <c r="AF40" s="5">
        <v>67.8</v>
      </c>
      <c r="AG40" s="2">
        <v>2712</v>
      </c>
      <c r="AH40" t="s">
        <v>22</v>
      </c>
      <c r="AI40" s="4">
        <v>46356</v>
      </c>
      <c r="AJ40" s="4">
        <v>46360</v>
      </c>
      <c r="AK40" s="4">
        <v>46227</v>
      </c>
      <c r="AL40" t="s">
        <v>2</v>
      </c>
      <c r="AM40" t="s">
        <v>2</v>
      </c>
      <c r="AN40" t="s">
        <v>23</v>
      </c>
    </row>
    <row r="41" spans="1:40" x14ac:dyDescent="0.25">
      <c r="A41" t="s">
        <v>0</v>
      </c>
      <c r="B41" t="s">
        <v>1</v>
      </c>
      <c r="C41" t="s">
        <v>2</v>
      </c>
      <c r="D41" t="s">
        <v>72</v>
      </c>
      <c r="E41" t="s">
        <v>73</v>
      </c>
      <c r="F41" t="s">
        <v>74</v>
      </c>
      <c r="G41" t="s">
        <v>6</v>
      </c>
      <c r="H41" t="str">
        <f t="shared" si="0"/>
        <v>PXCBC-F67008DAB</v>
      </c>
      <c r="I41" t="s">
        <v>114</v>
      </c>
      <c r="J41" t="s">
        <v>42</v>
      </c>
      <c r="K41" t="s">
        <v>43</v>
      </c>
      <c r="L41" s="2">
        <v>67.8</v>
      </c>
      <c r="M41" s="3">
        <v>20</v>
      </c>
      <c r="N41" t="s">
        <v>45</v>
      </c>
      <c r="O41" s="4">
        <v>46356</v>
      </c>
      <c r="P41" t="s">
        <v>11</v>
      </c>
      <c r="Q41" t="s">
        <v>2</v>
      </c>
      <c r="R41" t="s">
        <v>12</v>
      </c>
      <c r="S41" s="4">
        <v>46227</v>
      </c>
      <c r="T41" t="s">
        <v>13</v>
      </c>
      <c r="U41" t="s">
        <v>2</v>
      </c>
      <c r="V41" t="s">
        <v>14</v>
      </c>
      <c r="W41" t="s">
        <v>15</v>
      </c>
      <c r="X41" t="s">
        <v>16</v>
      </c>
      <c r="Y41" t="s">
        <v>51</v>
      </c>
      <c r="Z41" t="s">
        <v>51</v>
      </c>
      <c r="AA41" t="s">
        <v>18</v>
      </c>
      <c r="AB41" t="s">
        <v>19</v>
      </c>
      <c r="AC41" t="s">
        <v>20</v>
      </c>
      <c r="AD41" t="s">
        <v>12</v>
      </c>
      <c r="AE41" t="s">
        <v>21</v>
      </c>
      <c r="AF41" s="5">
        <v>67.8</v>
      </c>
      <c r="AG41" s="2">
        <v>1356</v>
      </c>
      <c r="AH41" t="s">
        <v>22</v>
      </c>
      <c r="AI41" s="4">
        <v>46356</v>
      </c>
      <c r="AJ41" s="4">
        <v>46360</v>
      </c>
      <c r="AK41" s="4">
        <v>46227</v>
      </c>
      <c r="AL41" t="s">
        <v>2</v>
      </c>
      <c r="AM41" t="s">
        <v>2</v>
      </c>
      <c r="AN41" t="s">
        <v>23</v>
      </c>
    </row>
    <row r="42" spans="1:40" x14ac:dyDescent="0.25">
      <c r="A42" t="s">
        <v>0</v>
      </c>
      <c r="B42" t="s">
        <v>1</v>
      </c>
      <c r="C42" t="s">
        <v>2</v>
      </c>
      <c r="D42" t="s">
        <v>72</v>
      </c>
      <c r="E42" t="s">
        <v>73</v>
      </c>
      <c r="F42" t="s">
        <v>74</v>
      </c>
      <c r="G42" t="s">
        <v>6</v>
      </c>
      <c r="H42" t="str">
        <f t="shared" si="0"/>
        <v>PXCBC-F67043LZZ</v>
      </c>
      <c r="I42" t="s">
        <v>115</v>
      </c>
      <c r="J42" t="s">
        <v>25</v>
      </c>
      <c r="K42" t="s">
        <v>26</v>
      </c>
      <c r="L42" s="2">
        <v>66.680000000000007</v>
      </c>
      <c r="M42" s="3">
        <v>320</v>
      </c>
      <c r="N42" t="s">
        <v>27</v>
      </c>
      <c r="O42" s="4">
        <v>46356</v>
      </c>
      <c r="P42" t="s">
        <v>11</v>
      </c>
      <c r="Q42" t="s">
        <v>2</v>
      </c>
      <c r="R42" t="s">
        <v>12</v>
      </c>
      <c r="S42" s="4">
        <v>46227</v>
      </c>
      <c r="T42" t="s">
        <v>13</v>
      </c>
      <c r="U42" t="s">
        <v>2</v>
      </c>
      <c r="V42" t="s">
        <v>14</v>
      </c>
      <c r="W42" t="s">
        <v>15</v>
      </c>
      <c r="X42" t="s">
        <v>16</v>
      </c>
      <c r="Y42" t="s">
        <v>51</v>
      </c>
      <c r="Z42" t="s">
        <v>51</v>
      </c>
      <c r="AA42" t="s">
        <v>18</v>
      </c>
      <c r="AB42" t="s">
        <v>19</v>
      </c>
      <c r="AC42" t="s">
        <v>20</v>
      </c>
      <c r="AD42" t="s">
        <v>34</v>
      </c>
      <c r="AE42" t="s">
        <v>21</v>
      </c>
      <c r="AF42" s="5">
        <v>66.680000000000007</v>
      </c>
      <c r="AG42" s="2">
        <v>21337.599999999999</v>
      </c>
      <c r="AH42" t="s">
        <v>22</v>
      </c>
      <c r="AI42" s="4">
        <v>46356</v>
      </c>
      <c r="AJ42" s="4">
        <v>46360</v>
      </c>
      <c r="AK42" s="4">
        <v>46227</v>
      </c>
      <c r="AL42" t="s">
        <v>2</v>
      </c>
      <c r="AM42" t="s">
        <v>2</v>
      </c>
      <c r="AN42" t="s">
        <v>23</v>
      </c>
    </row>
    <row r="43" spans="1:40" x14ac:dyDescent="0.25">
      <c r="A43" t="s">
        <v>0</v>
      </c>
      <c r="B43" t="s">
        <v>1</v>
      </c>
      <c r="C43" t="s">
        <v>2</v>
      </c>
      <c r="D43" t="s">
        <v>72</v>
      </c>
      <c r="E43" t="s">
        <v>73</v>
      </c>
      <c r="F43" t="s">
        <v>74</v>
      </c>
      <c r="G43" t="s">
        <v>6</v>
      </c>
      <c r="H43" t="str">
        <f t="shared" si="0"/>
        <v>PXCBC-F67043DAB</v>
      </c>
      <c r="I43" t="s">
        <v>115</v>
      </c>
      <c r="J43" t="s">
        <v>25</v>
      </c>
      <c r="K43" t="s">
        <v>26</v>
      </c>
      <c r="L43" s="2">
        <v>66.5</v>
      </c>
      <c r="M43" s="3">
        <v>30</v>
      </c>
      <c r="N43" t="s">
        <v>45</v>
      </c>
      <c r="O43" s="4">
        <v>46356</v>
      </c>
      <c r="P43" t="s">
        <v>11</v>
      </c>
      <c r="Q43" t="s">
        <v>2</v>
      </c>
      <c r="R43" t="s">
        <v>12</v>
      </c>
      <c r="S43" s="4">
        <v>46227</v>
      </c>
      <c r="T43" t="s">
        <v>13</v>
      </c>
      <c r="U43" t="s">
        <v>2</v>
      </c>
      <c r="V43" t="s">
        <v>14</v>
      </c>
      <c r="W43" t="s">
        <v>15</v>
      </c>
      <c r="X43" t="s">
        <v>16</v>
      </c>
      <c r="Y43" t="s">
        <v>51</v>
      </c>
      <c r="Z43" t="s">
        <v>51</v>
      </c>
      <c r="AA43" t="s">
        <v>18</v>
      </c>
      <c r="AB43" t="s">
        <v>19</v>
      </c>
      <c r="AC43" t="s">
        <v>20</v>
      </c>
      <c r="AD43" t="s">
        <v>12</v>
      </c>
      <c r="AE43" t="s">
        <v>21</v>
      </c>
      <c r="AF43" s="5">
        <v>66.5</v>
      </c>
      <c r="AG43" s="2">
        <v>1995</v>
      </c>
      <c r="AH43" t="s">
        <v>22</v>
      </c>
      <c r="AI43" s="4">
        <v>46356</v>
      </c>
      <c r="AJ43" s="4">
        <v>46360</v>
      </c>
      <c r="AK43" s="4">
        <v>46227</v>
      </c>
      <c r="AL43" t="s">
        <v>2</v>
      </c>
      <c r="AM43" t="s">
        <v>2</v>
      </c>
      <c r="AN43" t="s">
        <v>23</v>
      </c>
    </row>
    <row r="44" spans="1:40" x14ac:dyDescent="0.25">
      <c r="A44" t="s">
        <v>0</v>
      </c>
      <c r="B44" t="s">
        <v>1</v>
      </c>
      <c r="C44" t="s">
        <v>2</v>
      </c>
      <c r="D44" t="s">
        <v>72</v>
      </c>
      <c r="E44" t="s">
        <v>73</v>
      </c>
      <c r="F44" t="s">
        <v>74</v>
      </c>
      <c r="G44" t="s">
        <v>6</v>
      </c>
      <c r="H44" t="str">
        <f t="shared" si="0"/>
        <v>PXCEV-F63034LZZ</v>
      </c>
      <c r="I44" t="s">
        <v>116</v>
      </c>
      <c r="J44" t="s">
        <v>36</v>
      </c>
      <c r="K44" t="s">
        <v>9</v>
      </c>
      <c r="L44" s="2">
        <v>30</v>
      </c>
      <c r="M44" s="3">
        <v>1</v>
      </c>
      <c r="N44" t="s">
        <v>27</v>
      </c>
      <c r="O44" s="4">
        <v>46356</v>
      </c>
      <c r="P44" t="s">
        <v>11</v>
      </c>
      <c r="Q44" t="s">
        <v>2</v>
      </c>
      <c r="R44" t="s">
        <v>12</v>
      </c>
      <c r="S44" s="4">
        <v>46227</v>
      </c>
      <c r="T44" t="s">
        <v>13</v>
      </c>
      <c r="U44" t="s">
        <v>2</v>
      </c>
      <c r="V44" t="s">
        <v>14</v>
      </c>
      <c r="W44" t="s">
        <v>15</v>
      </c>
      <c r="X44" t="s">
        <v>16</v>
      </c>
      <c r="Y44" t="s">
        <v>51</v>
      </c>
      <c r="Z44" t="s">
        <v>51</v>
      </c>
      <c r="AA44" t="s">
        <v>18</v>
      </c>
      <c r="AB44" t="s">
        <v>19</v>
      </c>
      <c r="AC44" t="s">
        <v>20</v>
      </c>
      <c r="AD44" t="s">
        <v>12</v>
      </c>
      <c r="AE44" t="s">
        <v>21</v>
      </c>
      <c r="AF44" s="5">
        <v>30</v>
      </c>
      <c r="AG44" s="2">
        <v>30</v>
      </c>
      <c r="AH44" t="s">
        <v>22</v>
      </c>
      <c r="AI44" s="4">
        <v>46356</v>
      </c>
      <c r="AJ44" s="4">
        <v>46360</v>
      </c>
      <c r="AK44" s="4">
        <v>46227</v>
      </c>
      <c r="AL44" t="s">
        <v>2</v>
      </c>
      <c r="AM44" t="s">
        <v>2</v>
      </c>
      <c r="AN44" t="s">
        <v>23</v>
      </c>
    </row>
    <row r="45" spans="1:40" x14ac:dyDescent="0.25">
      <c r="A45" t="s">
        <v>0</v>
      </c>
      <c r="B45" t="s">
        <v>1</v>
      </c>
      <c r="C45" t="s">
        <v>2</v>
      </c>
      <c r="D45" t="s">
        <v>72</v>
      </c>
      <c r="E45" t="s">
        <v>73</v>
      </c>
      <c r="F45" t="s">
        <v>74</v>
      </c>
      <c r="G45" t="s">
        <v>6</v>
      </c>
      <c r="H45" t="str">
        <f t="shared" si="0"/>
        <v>PXCEV-F63034GAA</v>
      </c>
      <c r="I45" t="s">
        <v>116</v>
      </c>
      <c r="J45" t="s">
        <v>36</v>
      </c>
      <c r="K45" t="s">
        <v>9</v>
      </c>
      <c r="L45" s="2">
        <v>30</v>
      </c>
      <c r="M45" s="3">
        <v>31</v>
      </c>
      <c r="N45" t="s">
        <v>37</v>
      </c>
      <c r="O45" s="4">
        <v>46356</v>
      </c>
      <c r="P45" t="s">
        <v>11</v>
      </c>
      <c r="Q45" t="s">
        <v>2</v>
      </c>
      <c r="R45" t="s">
        <v>12</v>
      </c>
      <c r="S45" s="4">
        <v>46227</v>
      </c>
      <c r="T45" t="s">
        <v>13</v>
      </c>
      <c r="U45" t="s">
        <v>2</v>
      </c>
      <c r="V45" t="s">
        <v>14</v>
      </c>
      <c r="W45" t="s">
        <v>15</v>
      </c>
      <c r="X45" t="s">
        <v>16</v>
      </c>
      <c r="Y45" t="s">
        <v>51</v>
      </c>
      <c r="Z45" t="s">
        <v>51</v>
      </c>
      <c r="AA45" t="s">
        <v>18</v>
      </c>
      <c r="AB45" t="s">
        <v>19</v>
      </c>
      <c r="AC45" t="s">
        <v>20</v>
      </c>
      <c r="AD45" t="s">
        <v>34</v>
      </c>
      <c r="AE45" t="s">
        <v>21</v>
      </c>
      <c r="AF45" s="5">
        <v>30</v>
      </c>
      <c r="AG45" s="2">
        <v>930</v>
      </c>
      <c r="AH45" t="s">
        <v>22</v>
      </c>
      <c r="AI45" s="4">
        <v>46356</v>
      </c>
      <c r="AJ45" s="4">
        <v>46360</v>
      </c>
      <c r="AK45" s="4">
        <v>46227</v>
      </c>
      <c r="AL45" t="s">
        <v>2</v>
      </c>
      <c r="AM45" t="s">
        <v>2</v>
      </c>
      <c r="AN45" t="s">
        <v>23</v>
      </c>
    </row>
    <row r="46" spans="1:40" x14ac:dyDescent="0.25">
      <c r="A46" t="s">
        <v>0</v>
      </c>
      <c r="B46" t="s">
        <v>1</v>
      </c>
      <c r="C46" t="s">
        <v>2</v>
      </c>
      <c r="D46" t="s">
        <v>72</v>
      </c>
      <c r="E46" t="s">
        <v>73</v>
      </c>
      <c r="F46" t="s">
        <v>74</v>
      </c>
      <c r="G46" t="s">
        <v>6</v>
      </c>
      <c r="H46" t="str">
        <f t="shared" si="0"/>
        <v>PXCEV-F67008GAA</v>
      </c>
      <c r="I46" t="s">
        <v>117</v>
      </c>
      <c r="J46" t="s">
        <v>66</v>
      </c>
      <c r="K46" t="s">
        <v>43</v>
      </c>
      <c r="L46" s="2">
        <v>81.5</v>
      </c>
      <c r="M46" s="3">
        <v>1</v>
      </c>
      <c r="N46" t="s">
        <v>37</v>
      </c>
      <c r="O46" s="4">
        <v>46356</v>
      </c>
      <c r="P46" t="s">
        <v>11</v>
      </c>
      <c r="Q46" t="s">
        <v>2</v>
      </c>
      <c r="R46" t="s">
        <v>12</v>
      </c>
      <c r="S46" s="4">
        <v>46227</v>
      </c>
      <c r="T46" t="s">
        <v>13</v>
      </c>
      <c r="U46" t="s">
        <v>2</v>
      </c>
      <c r="V46" t="s">
        <v>14</v>
      </c>
      <c r="W46" t="s">
        <v>15</v>
      </c>
      <c r="X46" t="s">
        <v>16</v>
      </c>
      <c r="Y46" t="s">
        <v>51</v>
      </c>
      <c r="Z46" t="s">
        <v>51</v>
      </c>
      <c r="AA46" t="s">
        <v>18</v>
      </c>
      <c r="AB46" t="s">
        <v>19</v>
      </c>
      <c r="AC46" t="s">
        <v>20</v>
      </c>
      <c r="AD46" t="s">
        <v>12</v>
      </c>
      <c r="AE46" t="s">
        <v>21</v>
      </c>
      <c r="AF46" s="5">
        <v>81.5</v>
      </c>
      <c r="AG46" s="2">
        <v>81.5</v>
      </c>
      <c r="AH46" t="s">
        <v>22</v>
      </c>
      <c r="AI46" s="4">
        <v>46356</v>
      </c>
      <c r="AJ46" s="4">
        <v>46360</v>
      </c>
      <c r="AK46" s="4">
        <v>46227</v>
      </c>
      <c r="AL46" t="s">
        <v>2</v>
      </c>
      <c r="AM46" t="s">
        <v>2</v>
      </c>
      <c r="AN46" t="s">
        <v>23</v>
      </c>
    </row>
    <row r="47" spans="1:40" x14ac:dyDescent="0.25">
      <c r="A47" t="s">
        <v>0</v>
      </c>
      <c r="B47" t="s">
        <v>1</v>
      </c>
      <c r="C47" t="s">
        <v>2</v>
      </c>
      <c r="D47" t="s">
        <v>72</v>
      </c>
      <c r="E47" t="s">
        <v>73</v>
      </c>
      <c r="F47" t="s">
        <v>74</v>
      </c>
      <c r="G47" t="s">
        <v>6</v>
      </c>
      <c r="H47" t="str">
        <f t="shared" si="0"/>
        <v>PXCEV-F67081GAA</v>
      </c>
      <c r="I47" t="s">
        <v>118</v>
      </c>
      <c r="J47" t="s">
        <v>39</v>
      </c>
      <c r="K47" t="s">
        <v>33</v>
      </c>
      <c r="L47" s="2">
        <v>46</v>
      </c>
      <c r="M47" s="3">
        <v>1</v>
      </c>
      <c r="N47" t="s">
        <v>37</v>
      </c>
      <c r="O47" s="4">
        <v>46356</v>
      </c>
      <c r="P47" t="s">
        <v>11</v>
      </c>
      <c r="Q47" t="s">
        <v>2</v>
      </c>
      <c r="R47" t="s">
        <v>12</v>
      </c>
      <c r="S47" s="4">
        <v>46227</v>
      </c>
      <c r="T47" t="s">
        <v>13</v>
      </c>
      <c r="U47" t="s">
        <v>2</v>
      </c>
      <c r="V47" t="s">
        <v>14</v>
      </c>
      <c r="W47" t="s">
        <v>15</v>
      </c>
      <c r="X47" t="s">
        <v>16</v>
      </c>
      <c r="Y47" t="s">
        <v>51</v>
      </c>
      <c r="Z47" t="s">
        <v>51</v>
      </c>
      <c r="AA47" t="s">
        <v>18</v>
      </c>
      <c r="AB47" t="s">
        <v>19</v>
      </c>
      <c r="AC47" t="s">
        <v>20</v>
      </c>
      <c r="AD47" t="s">
        <v>12</v>
      </c>
      <c r="AE47" t="s">
        <v>21</v>
      </c>
      <c r="AF47" s="5">
        <v>46</v>
      </c>
      <c r="AG47" s="2">
        <v>46</v>
      </c>
      <c r="AH47" t="s">
        <v>22</v>
      </c>
      <c r="AI47" s="4">
        <v>46356</v>
      </c>
      <c r="AJ47" s="4">
        <v>46360</v>
      </c>
      <c r="AK47" s="4">
        <v>46227</v>
      </c>
      <c r="AL47" t="s">
        <v>2</v>
      </c>
      <c r="AM47" t="s">
        <v>2</v>
      </c>
      <c r="AN47" t="s">
        <v>23</v>
      </c>
    </row>
    <row r="48" spans="1:40" x14ac:dyDescent="0.25">
      <c r="A48" t="s">
        <v>0</v>
      </c>
      <c r="B48" t="s">
        <v>1</v>
      </c>
      <c r="C48" t="s">
        <v>2</v>
      </c>
      <c r="D48" t="s">
        <v>119</v>
      </c>
      <c r="E48" t="s">
        <v>120</v>
      </c>
      <c r="F48" t="s">
        <v>121</v>
      </c>
      <c r="G48" t="s">
        <v>6</v>
      </c>
      <c r="H48" t="str">
        <f t="shared" si="0"/>
        <v>PXBMW-F63034FAB</v>
      </c>
      <c r="I48" t="s">
        <v>122</v>
      </c>
      <c r="J48" t="s">
        <v>8</v>
      </c>
      <c r="K48" t="s">
        <v>9</v>
      </c>
      <c r="L48" s="2">
        <v>1</v>
      </c>
      <c r="M48" s="3">
        <v>35</v>
      </c>
      <c r="N48" t="s">
        <v>10</v>
      </c>
      <c r="O48" s="4">
        <v>46356</v>
      </c>
      <c r="P48" t="s">
        <v>11</v>
      </c>
      <c r="Q48" t="s">
        <v>2</v>
      </c>
      <c r="R48" t="s">
        <v>12</v>
      </c>
      <c r="S48" s="4">
        <v>46226</v>
      </c>
      <c r="T48" t="s">
        <v>13</v>
      </c>
      <c r="U48" t="s">
        <v>2</v>
      </c>
      <c r="V48" t="s">
        <v>14</v>
      </c>
      <c r="W48" t="s">
        <v>15</v>
      </c>
      <c r="X48" t="s">
        <v>16</v>
      </c>
      <c r="Y48" t="s">
        <v>51</v>
      </c>
      <c r="Z48" t="s">
        <v>51</v>
      </c>
      <c r="AA48" t="s">
        <v>18</v>
      </c>
      <c r="AB48" t="s">
        <v>19</v>
      </c>
      <c r="AC48" t="s">
        <v>20</v>
      </c>
      <c r="AD48" t="s">
        <v>12</v>
      </c>
      <c r="AE48" t="s">
        <v>21</v>
      </c>
      <c r="AF48" s="5">
        <v>1</v>
      </c>
      <c r="AG48" s="2">
        <v>35</v>
      </c>
      <c r="AH48" t="s">
        <v>22</v>
      </c>
      <c r="AI48" s="4">
        <v>46356</v>
      </c>
      <c r="AJ48" s="4">
        <v>46360</v>
      </c>
      <c r="AK48" s="4">
        <v>46226</v>
      </c>
      <c r="AL48" t="s">
        <v>2</v>
      </c>
      <c r="AM48" t="s">
        <v>2</v>
      </c>
      <c r="AN48" t="s">
        <v>23</v>
      </c>
    </row>
    <row r="49" spans="1:40" x14ac:dyDescent="0.25">
      <c r="A49" t="s">
        <v>0</v>
      </c>
      <c r="B49" t="s">
        <v>1</v>
      </c>
      <c r="C49" t="s">
        <v>2</v>
      </c>
      <c r="D49" t="s">
        <v>119</v>
      </c>
      <c r="E49" t="s">
        <v>120</v>
      </c>
      <c r="F49" t="s">
        <v>121</v>
      </c>
      <c r="G49" t="s">
        <v>6</v>
      </c>
      <c r="H49" t="str">
        <f t="shared" si="0"/>
        <v>PXCBC-H63044IBC</v>
      </c>
      <c r="I49" t="s">
        <v>123</v>
      </c>
      <c r="J49" t="s">
        <v>124</v>
      </c>
      <c r="K49" t="s">
        <v>102</v>
      </c>
      <c r="L49" s="2">
        <v>38.75</v>
      </c>
      <c r="M49" s="3">
        <v>30</v>
      </c>
      <c r="N49" t="s">
        <v>55</v>
      </c>
      <c r="O49" s="4">
        <v>46356</v>
      </c>
      <c r="P49" t="s">
        <v>11</v>
      </c>
      <c r="Q49" t="s">
        <v>2</v>
      </c>
      <c r="R49" t="s">
        <v>12</v>
      </c>
      <c r="S49" s="4">
        <v>46227</v>
      </c>
      <c r="T49" t="s">
        <v>13</v>
      </c>
      <c r="U49" t="s">
        <v>2</v>
      </c>
      <c r="V49" t="s">
        <v>14</v>
      </c>
      <c r="W49" t="s">
        <v>15</v>
      </c>
      <c r="X49" t="s">
        <v>16</v>
      </c>
      <c r="Y49" t="s">
        <v>51</v>
      </c>
      <c r="Z49" t="s">
        <v>51</v>
      </c>
      <c r="AA49" t="s">
        <v>18</v>
      </c>
      <c r="AB49" t="s">
        <v>19</v>
      </c>
      <c r="AC49" t="s">
        <v>20</v>
      </c>
      <c r="AD49" t="s">
        <v>12</v>
      </c>
      <c r="AE49" t="s">
        <v>21</v>
      </c>
      <c r="AF49" s="5">
        <v>38.75</v>
      </c>
      <c r="AG49" s="2">
        <v>1162.5</v>
      </c>
      <c r="AH49" t="s">
        <v>22</v>
      </c>
      <c r="AI49" s="4">
        <v>46356</v>
      </c>
      <c r="AJ49" s="4">
        <v>46360</v>
      </c>
      <c r="AK49" s="4">
        <v>46227</v>
      </c>
      <c r="AL49" t="s">
        <v>2</v>
      </c>
      <c r="AM49" t="s">
        <v>2</v>
      </c>
      <c r="AN49" t="s">
        <v>23</v>
      </c>
    </row>
    <row r="50" spans="1:40" x14ac:dyDescent="0.25">
      <c r="A50" t="s">
        <v>0</v>
      </c>
      <c r="B50" t="s">
        <v>1</v>
      </c>
      <c r="C50" t="s">
        <v>2</v>
      </c>
      <c r="D50" t="s">
        <v>119</v>
      </c>
      <c r="E50" t="s">
        <v>120</v>
      </c>
      <c r="F50" t="s">
        <v>121</v>
      </c>
      <c r="G50" t="s">
        <v>6</v>
      </c>
      <c r="H50" t="str">
        <f t="shared" si="0"/>
        <v>PXCEU-F67008FAB</v>
      </c>
      <c r="I50" t="s">
        <v>125</v>
      </c>
      <c r="J50" t="s">
        <v>126</v>
      </c>
      <c r="K50" t="s">
        <v>43</v>
      </c>
      <c r="L50" s="2">
        <v>85</v>
      </c>
      <c r="M50" s="3">
        <v>30</v>
      </c>
      <c r="N50" t="s">
        <v>10</v>
      </c>
      <c r="O50" s="4">
        <v>46356</v>
      </c>
      <c r="P50" t="s">
        <v>11</v>
      </c>
      <c r="Q50" t="s">
        <v>2</v>
      </c>
      <c r="R50" t="s">
        <v>12</v>
      </c>
      <c r="S50" s="4">
        <v>46227</v>
      </c>
      <c r="T50" t="s">
        <v>13</v>
      </c>
      <c r="U50" t="s">
        <v>2</v>
      </c>
      <c r="V50" t="s">
        <v>14</v>
      </c>
      <c r="W50" t="s">
        <v>15</v>
      </c>
      <c r="X50" t="s">
        <v>16</v>
      </c>
      <c r="Y50" t="s">
        <v>51</v>
      </c>
      <c r="Z50" t="s">
        <v>51</v>
      </c>
      <c r="AA50" t="s">
        <v>18</v>
      </c>
      <c r="AB50" t="s">
        <v>19</v>
      </c>
      <c r="AC50" t="s">
        <v>20</v>
      </c>
      <c r="AD50" t="s">
        <v>12</v>
      </c>
      <c r="AE50" t="s">
        <v>21</v>
      </c>
      <c r="AF50" s="5">
        <v>85</v>
      </c>
      <c r="AG50" s="2">
        <v>2550</v>
      </c>
      <c r="AH50" t="s">
        <v>22</v>
      </c>
      <c r="AI50" s="4">
        <v>46356</v>
      </c>
      <c r="AJ50" s="4">
        <v>46360</v>
      </c>
      <c r="AK50" s="4">
        <v>46227</v>
      </c>
      <c r="AL50" t="s">
        <v>2</v>
      </c>
      <c r="AM50" t="s">
        <v>2</v>
      </c>
      <c r="AN50" t="s">
        <v>23</v>
      </c>
    </row>
    <row r="51" spans="1:40" x14ac:dyDescent="0.25">
      <c r="A51" t="s">
        <v>0</v>
      </c>
      <c r="B51" t="s">
        <v>1</v>
      </c>
      <c r="C51" t="s">
        <v>2</v>
      </c>
      <c r="D51" t="s">
        <v>119</v>
      </c>
      <c r="E51" t="s">
        <v>120</v>
      </c>
      <c r="F51" t="s">
        <v>121</v>
      </c>
      <c r="G51" t="s">
        <v>6</v>
      </c>
      <c r="H51" t="str">
        <f t="shared" si="0"/>
        <v>PXCEU-F67043FAB</v>
      </c>
      <c r="I51" t="s">
        <v>127</v>
      </c>
      <c r="J51" t="s">
        <v>29</v>
      </c>
      <c r="K51" t="s">
        <v>26</v>
      </c>
      <c r="L51" s="2">
        <v>89.68</v>
      </c>
      <c r="M51" s="3">
        <v>30</v>
      </c>
      <c r="N51" t="s">
        <v>10</v>
      </c>
      <c r="O51" s="4">
        <v>46356</v>
      </c>
      <c r="P51" t="s">
        <v>11</v>
      </c>
      <c r="Q51" t="s">
        <v>2</v>
      </c>
      <c r="R51" t="s">
        <v>12</v>
      </c>
      <c r="S51" s="4">
        <v>46227</v>
      </c>
      <c r="T51" t="s">
        <v>13</v>
      </c>
      <c r="U51" t="s">
        <v>2</v>
      </c>
      <c r="V51" t="s">
        <v>14</v>
      </c>
      <c r="W51" t="s">
        <v>15</v>
      </c>
      <c r="X51" t="s">
        <v>16</v>
      </c>
      <c r="Y51" t="s">
        <v>51</v>
      </c>
      <c r="Z51" t="s">
        <v>51</v>
      </c>
      <c r="AA51" t="s">
        <v>18</v>
      </c>
      <c r="AB51" t="s">
        <v>19</v>
      </c>
      <c r="AC51" t="s">
        <v>20</v>
      </c>
      <c r="AD51" t="s">
        <v>12</v>
      </c>
      <c r="AE51" t="s">
        <v>21</v>
      </c>
      <c r="AF51" s="5">
        <v>89.68</v>
      </c>
      <c r="AG51" s="2">
        <v>2690.4</v>
      </c>
      <c r="AH51" t="s">
        <v>22</v>
      </c>
      <c r="AI51" s="4">
        <v>46356</v>
      </c>
      <c r="AJ51" s="4">
        <v>46360</v>
      </c>
      <c r="AK51" s="4">
        <v>46227</v>
      </c>
      <c r="AL51" t="s">
        <v>2</v>
      </c>
      <c r="AM51" t="s">
        <v>2</v>
      </c>
      <c r="AN51" t="s">
        <v>23</v>
      </c>
    </row>
    <row r="52" spans="1:40" x14ac:dyDescent="0.25">
      <c r="A52" t="s">
        <v>0</v>
      </c>
      <c r="B52" t="s">
        <v>1</v>
      </c>
      <c r="C52" t="s">
        <v>2</v>
      </c>
      <c r="D52" t="s">
        <v>119</v>
      </c>
      <c r="E52" t="s">
        <v>120</v>
      </c>
      <c r="F52" t="s">
        <v>121</v>
      </c>
      <c r="G52" t="s">
        <v>6</v>
      </c>
      <c r="H52" t="str">
        <f t="shared" si="0"/>
        <v>PXCEU-F67081FAB</v>
      </c>
      <c r="I52" t="s">
        <v>128</v>
      </c>
      <c r="J52" t="s">
        <v>32</v>
      </c>
      <c r="K52" t="s">
        <v>33</v>
      </c>
      <c r="L52" s="2">
        <v>45.5</v>
      </c>
      <c r="M52" s="3">
        <v>45</v>
      </c>
      <c r="N52" t="s">
        <v>10</v>
      </c>
      <c r="O52" s="4">
        <v>46356</v>
      </c>
      <c r="P52" t="s">
        <v>11</v>
      </c>
      <c r="Q52" t="s">
        <v>2</v>
      </c>
      <c r="R52" t="s">
        <v>12</v>
      </c>
      <c r="S52" s="4">
        <v>46227</v>
      </c>
      <c r="T52" t="s">
        <v>13</v>
      </c>
      <c r="U52" t="s">
        <v>2</v>
      </c>
      <c r="V52" t="s">
        <v>14</v>
      </c>
      <c r="W52" t="s">
        <v>15</v>
      </c>
      <c r="X52" t="s">
        <v>16</v>
      </c>
      <c r="Y52" t="s">
        <v>51</v>
      </c>
      <c r="Z52" t="s">
        <v>51</v>
      </c>
      <c r="AA52" t="s">
        <v>18</v>
      </c>
      <c r="AB52" t="s">
        <v>19</v>
      </c>
      <c r="AC52" t="s">
        <v>20</v>
      </c>
      <c r="AD52" t="s">
        <v>12</v>
      </c>
      <c r="AE52" t="s">
        <v>21</v>
      </c>
      <c r="AF52" s="5">
        <v>45.5</v>
      </c>
      <c r="AG52" s="2">
        <v>2047.5</v>
      </c>
      <c r="AH52" t="s">
        <v>22</v>
      </c>
      <c r="AI52" s="4">
        <v>46356</v>
      </c>
      <c r="AJ52" s="4">
        <v>46360</v>
      </c>
      <c r="AK52" s="4">
        <v>46227</v>
      </c>
      <c r="AL52" t="s">
        <v>2</v>
      </c>
      <c r="AM52" t="s">
        <v>2</v>
      </c>
      <c r="AN52" t="s">
        <v>23</v>
      </c>
    </row>
    <row r="53" spans="1:40" x14ac:dyDescent="0.25">
      <c r="A53" t="s">
        <v>0</v>
      </c>
      <c r="B53" t="s">
        <v>1</v>
      </c>
      <c r="C53" t="s">
        <v>2</v>
      </c>
      <c r="D53" t="s">
        <v>119</v>
      </c>
      <c r="E53" t="s">
        <v>120</v>
      </c>
      <c r="F53" t="s">
        <v>121</v>
      </c>
      <c r="G53" t="s">
        <v>6</v>
      </c>
      <c r="H53" t="str">
        <f t="shared" si="0"/>
        <v>PXCBC-F67008LAO</v>
      </c>
      <c r="I53" t="s">
        <v>129</v>
      </c>
      <c r="J53" t="s">
        <v>42</v>
      </c>
      <c r="K53" t="s">
        <v>43</v>
      </c>
      <c r="L53" s="2">
        <v>67.8</v>
      </c>
      <c r="M53" s="3">
        <v>65</v>
      </c>
      <c r="N53" t="s">
        <v>44</v>
      </c>
      <c r="O53" s="4">
        <v>46356</v>
      </c>
      <c r="P53" t="s">
        <v>11</v>
      </c>
      <c r="Q53" t="s">
        <v>2</v>
      </c>
      <c r="R53" t="s">
        <v>12</v>
      </c>
      <c r="S53" s="4">
        <v>46227</v>
      </c>
      <c r="T53" t="s">
        <v>13</v>
      </c>
      <c r="U53" t="s">
        <v>2</v>
      </c>
      <c r="V53" t="s">
        <v>14</v>
      </c>
      <c r="W53" t="s">
        <v>15</v>
      </c>
      <c r="X53" t="s">
        <v>16</v>
      </c>
      <c r="Y53" t="s">
        <v>51</v>
      </c>
      <c r="Z53" t="s">
        <v>51</v>
      </c>
      <c r="AA53" t="s">
        <v>18</v>
      </c>
      <c r="AB53" t="s">
        <v>19</v>
      </c>
      <c r="AC53" t="s">
        <v>20</v>
      </c>
      <c r="AD53" t="s">
        <v>34</v>
      </c>
      <c r="AE53" t="s">
        <v>21</v>
      </c>
      <c r="AF53" s="5">
        <v>67.8</v>
      </c>
      <c r="AG53" s="2">
        <v>4407</v>
      </c>
      <c r="AH53" t="s">
        <v>22</v>
      </c>
      <c r="AI53" s="4">
        <v>46356</v>
      </c>
      <c r="AJ53" s="4">
        <v>46360</v>
      </c>
      <c r="AK53" s="4">
        <v>46227</v>
      </c>
      <c r="AL53" t="s">
        <v>2</v>
      </c>
      <c r="AM53" t="s">
        <v>2</v>
      </c>
      <c r="AN53" t="s">
        <v>23</v>
      </c>
    </row>
    <row r="54" spans="1:40" x14ac:dyDescent="0.25">
      <c r="A54" t="s">
        <v>0</v>
      </c>
      <c r="B54" t="s">
        <v>1</v>
      </c>
      <c r="C54" t="s">
        <v>2</v>
      </c>
      <c r="D54" t="s">
        <v>119</v>
      </c>
      <c r="E54" t="s">
        <v>120</v>
      </c>
      <c r="F54" t="s">
        <v>121</v>
      </c>
      <c r="G54" t="s">
        <v>6</v>
      </c>
      <c r="H54" t="str">
        <f t="shared" si="0"/>
        <v>PXCBC-F67008DAB</v>
      </c>
      <c r="I54" t="s">
        <v>129</v>
      </c>
      <c r="J54" t="s">
        <v>42</v>
      </c>
      <c r="K54" t="s">
        <v>43</v>
      </c>
      <c r="L54" s="2">
        <v>67.8</v>
      </c>
      <c r="M54" s="3">
        <v>30</v>
      </c>
      <c r="N54" t="s">
        <v>45</v>
      </c>
      <c r="O54" s="4">
        <v>46356</v>
      </c>
      <c r="P54" t="s">
        <v>11</v>
      </c>
      <c r="Q54" t="s">
        <v>2</v>
      </c>
      <c r="R54" t="s">
        <v>12</v>
      </c>
      <c r="S54" s="4">
        <v>46227</v>
      </c>
      <c r="T54" t="s">
        <v>13</v>
      </c>
      <c r="U54" t="s">
        <v>2</v>
      </c>
      <c r="V54" t="s">
        <v>14</v>
      </c>
      <c r="W54" t="s">
        <v>15</v>
      </c>
      <c r="X54" t="s">
        <v>16</v>
      </c>
      <c r="Y54" t="s">
        <v>51</v>
      </c>
      <c r="Z54" t="s">
        <v>51</v>
      </c>
      <c r="AA54" t="s">
        <v>18</v>
      </c>
      <c r="AB54" t="s">
        <v>19</v>
      </c>
      <c r="AC54" t="s">
        <v>20</v>
      </c>
      <c r="AD54" t="s">
        <v>12</v>
      </c>
      <c r="AE54" t="s">
        <v>21</v>
      </c>
      <c r="AF54" s="5">
        <v>67.8</v>
      </c>
      <c r="AG54" s="2">
        <v>2034</v>
      </c>
      <c r="AH54" t="s">
        <v>22</v>
      </c>
      <c r="AI54" s="4">
        <v>46356</v>
      </c>
      <c r="AJ54" s="4">
        <v>46360</v>
      </c>
      <c r="AK54" s="4">
        <v>46227</v>
      </c>
      <c r="AL54" t="s">
        <v>2</v>
      </c>
      <c r="AM54" t="s">
        <v>2</v>
      </c>
      <c r="AN54" t="s">
        <v>23</v>
      </c>
    </row>
    <row r="55" spans="1:40" x14ac:dyDescent="0.25">
      <c r="A55" t="s">
        <v>0</v>
      </c>
      <c r="B55" t="s">
        <v>1</v>
      </c>
      <c r="C55" t="s">
        <v>2</v>
      </c>
      <c r="D55" t="s">
        <v>119</v>
      </c>
      <c r="E55" t="s">
        <v>120</v>
      </c>
      <c r="F55" t="s">
        <v>121</v>
      </c>
      <c r="G55" t="s">
        <v>6</v>
      </c>
      <c r="H55" t="str">
        <f t="shared" si="0"/>
        <v>PXCBC-F67043DAB</v>
      </c>
      <c r="I55" t="s">
        <v>130</v>
      </c>
      <c r="J55" t="s">
        <v>25</v>
      </c>
      <c r="K55" t="s">
        <v>26</v>
      </c>
      <c r="L55" s="2">
        <v>66.5</v>
      </c>
      <c r="M55" s="3">
        <v>35</v>
      </c>
      <c r="N55" t="s">
        <v>45</v>
      </c>
      <c r="O55" s="4">
        <v>46356</v>
      </c>
      <c r="P55" t="s">
        <v>11</v>
      </c>
      <c r="Q55" t="s">
        <v>2</v>
      </c>
      <c r="R55" t="s">
        <v>12</v>
      </c>
      <c r="S55" s="4">
        <v>46227</v>
      </c>
      <c r="T55" t="s">
        <v>13</v>
      </c>
      <c r="U55" t="s">
        <v>2</v>
      </c>
      <c r="V55" t="s">
        <v>14</v>
      </c>
      <c r="W55" t="s">
        <v>15</v>
      </c>
      <c r="X55" t="s">
        <v>16</v>
      </c>
      <c r="Y55" t="s">
        <v>51</v>
      </c>
      <c r="Z55" t="s">
        <v>51</v>
      </c>
      <c r="AA55" t="s">
        <v>18</v>
      </c>
      <c r="AB55" t="s">
        <v>19</v>
      </c>
      <c r="AC55" t="s">
        <v>20</v>
      </c>
      <c r="AD55" t="s">
        <v>12</v>
      </c>
      <c r="AE55" t="s">
        <v>21</v>
      </c>
      <c r="AF55" s="5">
        <v>66.5</v>
      </c>
      <c r="AG55" s="2">
        <v>2327.5</v>
      </c>
      <c r="AH55" t="s">
        <v>22</v>
      </c>
      <c r="AI55" s="4">
        <v>46356</v>
      </c>
      <c r="AJ55" s="4">
        <v>46360</v>
      </c>
      <c r="AK55" s="4">
        <v>46227</v>
      </c>
      <c r="AL55" t="s">
        <v>2</v>
      </c>
      <c r="AM55" t="s">
        <v>2</v>
      </c>
      <c r="AN55" t="s">
        <v>23</v>
      </c>
    </row>
    <row r="56" spans="1:40" x14ac:dyDescent="0.25">
      <c r="A56" t="s">
        <v>0</v>
      </c>
      <c r="B56" t="s">
        <v>1</v>
      </c>
      <c r="C56" t="s">
        <v>2</v>
      </c>
      <c r="D56" t="s">
        <v>119</v>
      </c>
      <c r="E56" t="s">
        <v>120</v>
      </c>
      <c r="F56" t="s">
        <v>121</v>
      </c>
      <c r="G56" t="s">
        <v>6</v>
      </c>
      <c r="H56" t="str">
        <f t="shared" si="0"/>
        <v>PXCBC-F67081DAB</v>
      </c>
      <c r="I56" t="s">
        <v>131</v>
      </c>
      <c r="J56" t="s">
        <v>63</v>
      </c>
      <c r="K56" t="s">
        <v>33</v>
      </c>
      <c r="L56" s="2">
        <v>38.5</v>
      </c>
      <c r="M56" s="3">
        <v>35</v>
      </c>
      <c r="N56" t="s">
        <v>45</v>
      </c>
      <c r="O56" s="4">
        <v>46356</v>
      </c>
      <c r="P56" t="s">
        <v>11</v>
      </c>
      <c r="Q56" t="s">
        <v>2</v>
      </c>
      <c r="R56" t="s">
        <v>12</v>
      </c>
      <c r="S56" s="4">
        <v>46227</v>
      </c>
      <c r="T56" t="s">
        <v>13</v>
      </c>
      <c r="U56" t="s">
        <v>2</v>
      </c>
      <c r="V56" t="s">
        <v>14</v>
      </c>
      <c r="W56" t="s">
        <v>15</v>
      </c>
      <c r="X56" t="s">
        <v>16</v>
      </c>
      <c r="Y56" t="s">
        <v>51</v>
      </c>
      <c r="Z56" t="s">
        <v>51</v>
      </c>
      <c r="AA56" t="s">
        <v>18</v>
      </c>
      <c r="AB56" t="s">
        <v>19</v>
      </c>
      <c r="AC56" t="s">
        <v>20</v>
      </c>
      <c r="AD56" t="s">
        <v>12</v>
      </c>
      <c r="AE56" t="s">
        <v>21</v>
      </c>
      <c r="AF56" s="5">
        <v>38.5</v>
      </c>
      <c r="AG56" s="2">
        <v>1347.5</v>
      </c>
      <c r="AH56" t="s">
        <v>22</v>
      </c>
      <c r="AI56" s="4">
        <v>46356</v>
      </c>
      <c r="AJ56" s="4">
        <v>46360</v>
      </c>
      <c r="AK56" s="4">
        <v>46227</v>
      </c>
      <c r="AL56" t="s">
        <v>2</v>
      </c>
      <c r="AM56" t="s">
        <v>2</v>
      </c>
      <c r="AN56" t="s">
        <v>23</v>
      </c>
    </row>
    <row r="57" spans="1:40" x14ac:dyDescent="0.25">
      <c r="A57" t="s">
        <v>0</v>
      </c>
      <c r="B57" t="s">
        <v>1</v>
      </c>
      <c r="C57" t="s">
        <v>2</v>
      </c>
      <c r="D57" t="s">
        <v>119</v>
      </c>
      <c r="E57" t="s">
        <v>120</v>
      </c>
      <c r="F57" t="s">
        <v>121</v>
      </c>
      <c r="G57" t="s">
        <v>6</v>
      </c>
      <c r="H57" t="str">
        <f t="shared" si="0"/>
        <v>PXCEV-F63034LZZ</v>
      </c>
      <c r="I57" t="s">
        <v>132</v>
      </c>
      <c r="J57" t="s">
        <v>36</v>
      </c>
      <c r="K57" t="s">
        <v>9</v>
      </c>
      <c r="L57" s="2">
        <v>30</v>
      </c>
      <c r="M57" s="3">
        <v>50</v>
      </c>
      <c r="N57" t="s">
        <v>27</v>
      </c>
      <c r="O57" s="4">
        <v>46356</v>
      </c>
      <c r="P57" t="s">
        <v>11</v>
      </c>
      <c r="Q57" t="s">
        <v>2</v>
      </c>
      <c r="R57" t="s">
        <v>12</v>
      </c>
      <c r="S57" s="4">
        <v>46227</v>
      </c>
      <c r="T57" t="s">
        <v>13</v>
      </c>
      <c r="U57" t="s">
        <v>2</v>
      </c>
      <c r="V57" t="s">
        <v>14</v>
      </c>
      <c r="W57" t="s">
        <v>15</v>
      </c>
      <c r="X57" t="s">
        <v>16</v>
      </c>
      <c r="Y57" t="s">
        <v>51</v>
      </c>
      <c r="Z57" t="s">
        <v>51</v>
      </c>
      <c r="AA57" t="s">
        <v>18</v>
      </c>
      <c r="AB57" t="s">
        <v>19</v>
      </c>
      <c r="AC57" t="s">
        <v>20</v>
      </c>
      <c r="AD57" t="s">
        <v>12</v>
      </c>
      <c r="AE57" t="s">
        <v>21</v>
      </c>
      <c r="AF57" s="5">
        <v>30</v>
      </c>
      <c r="AG57" s="2">
        <v>1500</v>
      </c>
      <c r="AH57" t="s">
        <v>22</v>
      </c>
      <c r="AI57" s="4">
        <v>46356</v>
      </c>
      <c r="AJ57" s="4">
        <v>46360</v>
      </c>
      <c r="AK57" s="4">
        <v>46227</v>
      </c>
      <c r="AL57" t="s">
        <v>2</v>
      </c>
      <c r="AM57" t="s">
        <v>2</v>
      </c>
      <c r="AN57" t="s">
        <v>23</v>
      </c>
    </row>
    <row r="58" spans="1:40" x14ac:dyDescent="0.25">
      <c r="A58" t="s">
        <v>0</v>
      </c>
      <c r="B58" t="s">
        <v>1</v>
      </c>
      <c r="C58" t="s">
        <v>2</v>
      </c>
      <c r="D58" t="s">
        <v>133</v>
      </c>
      <c r="E58" t="s">
        <v>134</v>
      </c>
      <c r="F58" t="s">
        <v>2</v>
      </c>
      <c r="G58" t="s">
        <v>6</v>
      </c>
      <c r="H58" t="str">
        <f t="shared" si="0"/>
        <v>PXBMW-F63034FAB</v>
      </c>
      <c r="I58" t="s">
        <v>135</v>
      </c>
      <c r="J58" t="s">
        <v>8</v>
      </c>
      <c r="K58" t="s">
        <v>9</v>
      </c>
      <c r="L58" s="2">
        <v>1</v>
      </c>
      <c r="M58" s="3">
        <v>39</v>
      </c>
      <c r="N58" t="s">
        <v>10</v>
      </c>
      <c r="O58" s="4">
        <v>46356</v>
      </c>
      <c r="P58" t="s">
        <v>11</v>
      </c>
      <c r="Q58" t="s">
        <v>2</v>
      </c>
      <c r="R58" t="s">
        <v>12</v>
      </c>
      <c r="S58" s="4">
        <v>46226</v>
      </c>
      <c r="T58" t="s">
        <v>13</v>
      </c>
      <c r="U58" t="s">
        <v>2</v>
      </c>
      <c r="V58" t="s">
        <v>14</v>
      </c>
      <c r="W58" t="s">
        <v>15</v>
      </c>
      <c r="X58" t="s">
        <v>16</v>
      </c>
      <c r="Y58" t="s">
        <v>136</v>
      </c>
      <c r="Z58" t="s">
        <v>137</v>
      </c>
      <c r="AA58" t="s">
        <v>18</v>
      </c>
      <c r="AB58" t="s">
        <v>19</v>
      </c>
      <c r="AC58" t="s">
        <v>20</v>
      </c>
      <c r="AD58" t="s">
        <v>12</v>
      </c>
      <c r="AE58" t="s">
        <v>21</v>
      </c>
      <c r="AF58" s="5">
        <v>1</v>
      </c>
      <c r="AG58" s="2">
        <v>39</v>
      </c>
      <c r="AH58" t="s">
        <v>22</v>
      </c>
      <c r="AI58" s="4">
        <v>46356</v>
      </c>
      <c r="AJ58" s="4">
        <v>46363</v>
      </c>
      <c r="AK58" s="4">
        <v>46226</v>
      </c>
      <c r="AL58" t="s">
        <v>2</v>
      </c>
      <c r="AM58" t="s">
        <v>2</v>
      </c>
      <c r="AN58" t="s">
        <v>23</v>
      </c>
    </row>
    <row r="59" spans="1:40" x14ac:dyDescent="0.25">
      <c r="A59" t="s">
        <v>0</v>
      </c>
      <c r="B59" t="s">
        <v>1</v>
      </c>
      <c r="C59" t="s">
        <v>2</v>
      </c>
      <c r="D59" t="s">
        <v>133</v>
      </c>
      <c r="E59" t="s">
        <v>134</v>
      </c>
      <c r="F59" t="s">
        <v>2</v>
      </c>
      <c r="G59" t="s">
        <v>6</v>
      </c>
      <c r="H59" t="str">
        <f t="shared" si="0"/>
        <v>PXBHZ-F65101CAD</v>
      </c>
      <c r="I59" t="s">
        <v>138</v>
      </c>
      <c r="J59" t="s">
        <v>80</v>
      </c>
      <c r="K59" t="s">
        <v>81</v>
      </c>
      <c r="L59" s="2">
        <v>23.5</v>
      </c>
      <c r="M59" s="3">
        <v>38</v>
      </c>
      <c r="N59" t="s">
        <v>139</v>
      </c>
      <c r="O59" s="4">
        <v>46356</v>
      </c>
      <c r="P59" t="s">
        <v>11</v>
      </c>
      <c r="Q59" t="s">
        <v>2</v>
      </c>
      <c r="R59" t="s">
        <v>12</v>
      </c>
      <c r="S59" s="4">
        <v>46227</v>
      </c>
      <c r="T59" t="s">
        <v>13</v>
      </c>
      <c r="U59" t="s">
        <v>2</v>
      </c>
      <c r="V59" t="s">
        <v>14</v>
      </c>
      <c r="W59" t="s">
        <v>15</v>
      </c>
      <c r="X59" t="s">
        <v>16</v>
      </c>
      <c r="Y59" t="s">
        <v>136</v>
      </c>
      <c r="Z59" t="s">
        <v>137</v>
      </c>
      <c r="AA59" t="s">
        <v>18</v>
      </c>
      <c r="AB59" t="s">
        <v>19</v>
      </c>
      <c r="AC59" t="s">
        <v>140</v>
      </c>
      <c r="AD59" t="s">
        <v>84</v>
      </c>
      <c r="AE59" t="s">
        <v>21</v>
      </c>
      <c r="AF59" s="5">
        <v>23.5</v>
      </c>
      <c r="AG59" s="2">
        <v>893</v>
      </c>
      <c r="AH59" t="s">
        <v>22</v>
      </c>
      <c r="AI59" s="4">
        <v>46356</v>
      </c>
      <c r="AJ59" s="4">
        <v>46363</v>
      </c>
      <c r="AK59" s="4">
        <v>46227</v>
      </c>
      <c r="AL59" t="s">
        <v>2</v>
      </c>
      <c r="AM59" t="s">
        <v>2</v>
      </c>
      <c r="AN59" t="s">
        <v>23</v>
      </c>
    </row>
    <row r="60" spans="1:40" x14ac:dyDescent="0.25">
      <c r="A60" t="s">
        <v>0</v>
      </c>
      <c r="B60" t="s">
        <v>1</v>
      </c>
      <c r="C60" t="s">
        <v>2</v>
      </c>
      <c r="D60" t="s">
        <v>133</v>
      </c>
      <c r="E60" t="s">
        <v>134</v>
      </c>
      <c r="F60" t="s">
        <v>2</v>
      </c>
      <c r="G60" t="s">
        <v>6</v>
      </c>
      <c r="H60" t="str">
        <f t="shared" si="0"/>
        <v>PXBHZ-F65101LZZ</v>
      </c>
      <c r="I60" t="s">
        <v>138</v>
      </c>
      <c r="J60" t="s">
        <v>80</v>
      </c>
      <c r="K60" t="s">
        <v>81</v>
      </c>
      <c r="L60" s="2">
        <v>23.5</v>
      </c>
      <c r="M60" s="3">
        <v>28</v>
      </c>
      <c r="N60" t="s">
        <v>82</v>
      </c>
      <c r="O60" s="4">
        <v>46356</v>
      </c>
      <c r="P60" t="s">
        <v>11</v>
      </c>
      <c r="Q60" t="s">
        <v>2</v>
      </c>
      <c r="R60" t="s">
        <v>12</v>
      </c>
      <c r="S60" s="4">
        <v>46227</v>
      </c>
      <c r="T60" t="s">
        <v>13</v>
      </c>
      <c r="U60" t="s">
        <v>2</v>
      </c>
      <c r="V60" t="s">
        <v>14</v>
      </c>
      <c r="W60" t="s">
        <v>15</v>
      </c>
      <c r="X60" t="s">
        <v>16</v>
      </c>
      <c r="Y60" t="s">
        <v>136</v>
      </c>
      <c r="Z60" t="s">
        <v>137</v>
      </c>
      <c r="AA60" t="s">
        <v>18</v>
      </c>
      <c r="AB60" t="s">
        <v>19</v>
      </c>
      <c r="AC60" t="s">
        <v>83</v>
      </c>
      <c r="AD60" t="s">
        <v>34</v>
      </c>
      <c r="AE60" t="s">
        <v>21</v>
      </c>
      <c r="AF60" s="5">
        <v>23.5</v>
      </c>
      <c r="AG60" s="2">
        <v>658</v>
      </c>
      <c r="AH60" t="s">
        <v>22</v>
      </c>
      <c r="AI60" s="4">
        <v>46356</v>
      </c>
      <c r="AJ60" s="4">
        <v>46363</v>
      </c>
      <c r="AK60" s="4">
        <v>46227</v>
      </c>
      <c r="AL60" t="s">
        <v>2</v>
      </c>
      <c r="AM60" t="s">
        <v>2</v>
      </c>
      <c r="AN60" t="s">
        <v>23</v>
      </c>
    </row>
    <row r="61" spans="1:40" x14ac:dyDescent="0.25">
      <c r="A61" t="s">
        <v>0</v>
      </c>
      <c r="B61" t="s">
        <v>1</v>
      </c>
      <c r="C61" t="s">
        <v>2</v>
      </c>
      <c r="D61" t="s">
        <v>133</v>
      </c>
      <c r="E61" t="s">
        <v>134</v>
      </c>
      <c r="F61" t="s">
        <v>2</v>
      </c>
      <c r="G61" t="s">
        <v>6</v>
      </c>
      <c r="H61" t="str">
        <f t="shared" si="0"/>
        <v>PXBHZ-F65101LZZ</v>
      </c>
      <c r="I61" t="s">
        <v>138</v>
      </c>
      <c r="J61" t="s">
        <v>80</v>
      </c>
      <c r="K61" t="s">
        <v>81</v>
      </c>
      <c r="L61" s="2">
        <v>23.5</v>
      </c>
      <c r="M61" s="3">
        <v>3</v>
      </c>
      <c r="N61" t="s">
        <v>86</v>
      </c>
      <c r="O61" s="4">
        <v>46356</v>
      </c>
      <c r="P61" t="s">
        <v>11</v>
      </c>
      <c r="Q61" t="s">
        <v>2</v>
      </c>
      <c r="R61" t="s">
        <v>12</v>
      </c>
      <c r="S61" s="4">
        <v>46227</v>
      </c>
      <c r="T61" t="s">
        <v>13</v>
      </c>
      <c r="U61" t="s">
        <v>2</v>
      </c>
      <c r="V61" t="s">
        <v>14</v>
      </c>
      <c r="W61" t="s">
        <v>15</v>
      </c>
      <c r="X61" t="s">
        <v>16</v>
      </c>
      <c r="Y61" t="s">
        <v>136</v>
      </c>
      <c r="Z61" t="s">
        <v>137</v>
      </c>
      <c r="AA61" t="s">
        <v>18</v>
      </c>
      <c r="AB61" t="s">
        <v>19</v>
      </c>
      <c r="AC61" t="s">
        <v>87</v>
      </c>
      <c r="AD61" t="s">
        <v>12</v>
      </c>
      <c r="AE61" t="s">
        <v>21</v>
      </c>
      <c r="AF61" s="5">
        <v>23.5</v>
      </c>
      <c r="AG61" s="2">
        <v>70.5</v>
      </c>
      <c r="AH61" t="s">
        <v>22</v>
      </c>
      <c r="AI61" s="4">
        <v>46356</v>
      </c>
      <c r="AJ61" s="4">
        <v>46363</v>
      </c>
      <c r="AK61" s="4">
        <v>46227</v>
      </c>
      <c r="AL61" t="s">
        <v>2</v>
      </c>
      <c r="AM61" t="s">
        <v>2</v>
      </c>
      <c r="AN61" t="s">
        <v>23</v>
      </c>
    </row>
    <row r="62" spans="1:40" x14ac:dyDescent="0.25">
      <c r="A62" t="s">
        <v>0</v>
      </c>
      <c r="B62" t="s">
        <v>1</v>
      </c>
      <c r="C62" t="s">
        <v>2</v>
      </c>
      <c r="D62" t="s">
        <v>133</v>
      </c>
      <c r="E62" t="s">
        <v>134</v>
      </c>
      <c r="F62" t="s">
        <v>2</v>
      </c>
      <c r="G62" t="s">
        <v>6</v>
      </c>
      <c r="H62" t="str">
        <f t="shared" si="0"/>
        <v>PXBHZ-H65077LZZ</v>
      </c>
      <c r="I62" t="s">
        <v>141</v>
      </c>
      <c r="J62" t="s">
        <v>91</v>
      </c>
      <c r="K62" t="s">
        <v>92</v>
      </c>
      <c r="L62" s="2">
        <v>32.1</v>
      </c>
      <c r="M62" s="3">
        <v>7</v>
      </c>
      <c r="N62" t="s">
        <v>93</v>
      </c>
      <c r="O62" s="4">
        <v>46356</v>
      </c>
      <c r="P62" t="s">
        <v>11</v>
      </c>
      <c r="Q62" t="s">
        <v>2</v>
      </c>
      <c r="R62" t="s">
        <v>12</v>
      </c>
      <c r="S62" s="4">
        <v>46227</v>
      </c>
      <c r="T62" t="s">
        <v>13</v>
      </c>
      <c r="U62" t="s">
        <v>2</v>
      </c>
      <c r="V62" t="s">
        <v>14</v>
      </c>
      <c r="W62" t="s">
        <v>15</v>
      </c>
      <c r="X62" t="s">
        <v>16</v>
      </c>
      <c r="Y62" t="s">
        <v>136</v>
      </c>
      <c r="Z62" t="s">
        <v>137</v>
      </c>
      <c r="AA62" t="s">
        <v>18</v>
      </c>
      <c r="AB62" t="s">
        <v>19</v>
      </c>
      <c r="AC62" t="s">
        <v>94</v>
      </c>
      <c r="AD62" t="s">
        <v>84</v>
      </c>
      <c r="AE62" t="s">
        <v>21</v>
      </c>
      <c r="AF62" s="5">
        <v>32.1</v>
      </c>
      <c r="AG62" s="2">
        <v>224.7</v>
      </c>
      <c r="AH62" t="s">
        <v>22</v>
      </c>
      <c r="AI62" s="4">
        <v>46356</v>
      </c>
      <c r="AJ62" s="4">
        <v>46363</v>
      </c>
      <c r="AK62" s="4">
        <v>46227</v>
      </c>
      <c r="AL62" t="s">
        <v>2</v>
      </c>
      <c r="AM62" t="s">
        <v>2</v>
      </c>
      <c r="AN62" t="s">
        <v>23</v>
      </c>
    </row>
    <row r="63" spans="1:40" x14ac:dyDescent="0.25">
      <c r="A63" t="s">
        <v>0</v>
      </c>
      <c r="B63" t="s">
        <v>1</v>
      </c>
      <c r="C63" t="s">
        <v>2</v>
      </c>
      <c r="D63" t="s">
        <v>133</v>
      </c>
      <c r="E63" t="s">
        <v>134</v>
      </c>
      <c r="F63" t="s">
        <v>2</v>
      </c>
      <c r="G63" t="s">
        <v>6</v>
      </c>
      <c r="H63" t="str">
        <f t="shared" si="0"/>
        <v>PXBHZ-H65077CAE</v>
      </c>
      <c r="I63" t="s">
        <v>141</v>
      </c>
      <c r="J63" t="s">
        <v>91</v>
      </c>
      <c r="K63" t="s">
        <v>92</v>
      </c>
      <c r="L63" s="2">
        <v>32.1</v>
      </c>
      <c r="M63" s="3">
        <v>3</v>
      </c>
      <c r="N63" t="s">
        <v>142</v>
      </c>
      <c r="O63" s="4">
        <v>46356</v>
      </c>
      <c r="P63" t="s">
        <v>11</v>
      </c>
      <c r="Q63" t="s">
        <v>2</v>
      </c>
      <c r="R63" t="s">
        <v>12</v>
      </c>
      <c r="S63" s="4">
        <v>46227</v>
      </c>
      <c r="T63" t="s">
        <v>13</v>
      </c>
      <c r="U63" t="s">
        <v>2</v>
      </c>
      <c r="V63" t="s">
        <v>14</v>
      </c>
      <c r="W63" t="s">
        <v>15</v>
      </c>
      <c r="X63" t="s">
        <v>16</v>
      </c>
      <c r="Y63" t="s">
        <v>136</v>
      </c>
      <c r="Z63" t="s">
        <v>137</v>
      </c>
      <c r="AA63" t="s">
        <v>18</v>
      </c>
      <c r="AB63" t="s">
        <v>19</v>
      </c>
      <c r="AC63" t="s">
        <v>94</v>
      </c>
      <c r="AD63" t="s">
        <v>143</v>
      </c>
      <c r="AE63" t="s">
        <v>21</v>
      </c>
      <c r="AF63" s="5">
        <v>32.1</v>
      </c>
      <c r="AG63" s="2">
        <v>96.3</v>
      </c>
      <c r="AH63" t="s">
        <v>22</v>
      </c>
      <c r="AI63" s="4">
        <v>46356</v>
      </c>
      <c r="AJ63" s="4">
        <v>46363</v>
      </c>
      <c r="AK63" s="4">
        <v>46227</v>
      </c>
      <c r="AL63" t="s">
        <v>2</v>
      </c>
      <c r="AM63" t="s">
        <v>2</v>
      </c>
      <c r="AN63" t="s">
        <v>23</v>
      </c>
    </row>
    <row r="64" spans="1:40" x14ac:dyDescent="0.25">
      <c r="A64" t="s">
        <v>0</v>
      </c>
      <c r="B64" t="s">
        <v>1</v>
      </c>
      <c r="C64" t="s">
        <v>2</v>
      </c>
      <c r="D64" t="s">
        <v>133</v>
      </c>
      <c r="E64" t="s">
        <v>134</v>
      </c>
      <c r="F64" t="s">
        <v>2</v>
      </c>
      <c r="G64" t="s">
        <v>6</v>
      </c>
      <c r="H64" t="str">
        <f t="shared" si="0"/>
        <v>PXBHZ-H65077LZZ</v>
      </c>
      <c r="I64" t="s">
        <v>141</v>
      </c>
      <c r="J64" t="s">
        <v>91</v>
      </c>
      <c r="K64" t="s">
        <v>92</v>
      </c>
      <c r="L64" s="2">
        <v>32.1</v>
      </c>
      <c r="M64" s="3">
        <v>42</v>
      </c>
      <c r="N64" t="s">
        <v>144</v>
      </c>
      <c r="O64" s="4">
        <v>46356</v>
      </c>
      <c r="P64" t="s">
        <v>11</v>
      </c>
      <c r="Q64" t="s">
        <v>2</v>
      </c>
      <c r="R64" t="s">
        <v>12</v>
      </c>
      <c r="S64" s="4">
        <v>46227</v>
      </c>
      <c r="T64" t="s">
        <v>13</v>
      </c>
      <c r="U64" t="s">
        <v>2</v>
      </c>
      <c r="V64" t="s">
        <v>14</v>
      </c>
      <c r="W64" t="s">
        <v>15</v>
      </c>
      <c r="X64" t="s">
        <v>16</v>
      </c>
      <c r="Y64" t="s">
        <v>136</v>
      </c>
      <c r="Z64" t="s">
        <v>137</v>
      </c>
      <c r="AA64" t="s">
        <v>18</v>
      </c>
      <c r="AB64" t="s">
        <v>19</v>
      </c>
      <c r="AC64" t="s">
        <v>140</v>
      </c>
      <c r="AD64" t="s">
        <v>88</v>
      </c>
      <c r="AE64" t="s">
        <v>21</v>
      </c>
      <c r="AF64" s="5">
        <v>32.1</v>
      </c>
      <c r="AG64" s="2">
        <v>1348.2</v>
      </c>
      <c r="AH64" t="s">
        <v>22</v>
      </c>
      <c r="AI64" s="4">
        <v>46356</v>
      </c>
      <c r="AJ64" s="4">
        <v>46363</v>
      </c>
      <c r="AK64" s="4">
        <v>46227</v>
      </c>
      <c r="AL64" t="s">
        <v>2</v>
      </c>
      <c r="AM64" t="s">
        <v>2</v>
      </c>
      <c r="AN64" t="s">
        <v>23</v>
      </c>
    </row>
    <row r="65" spans="1:40" x14ac:dyDescent="0.25">
      <c r="A65" t="s">
        <v>0</v>
      </c>
      <c r="B65" t="s">
        <v>1</v>
      </c>
      <c r="C65" t="s">
        <v>2</v>
      </c>
      <c r="D65" t="s">
        <v>133</v>
      </c>
      <c r="E65" t="s">
        <v>134</v>
      </c>
      <c r="F65" t="s">
        <v>2</v>
      </c>
      <c r="G65" t="s">
        <v>6</v>
      </c>
      <c r="H65" t="str">
        <f t="shared" si="0"/>
        <v>PXBHZ-H65077CAE</v>
      </c>
      <c r="I65" t="s">
        <v>141</v>
      </c>
      <c r="J65" t="s">
        <v>91</v>
      </c>
      <c r="K65" t="s">
        <v>92</v>
      </c>
      <c r="L65" s="2">
        <v>32.1</v>
      </c>
      <c r="M65" s="3">
        <v>27</v>
      </c>
      <c r="N65" t="s">
        <v>145</v>
      </c>
      <c r="O65" s="4">
        <v>46356</v>
      </c>
      <c r="P65" t="s">
        <v>11</v>
      </c>
      <c r="Q65" t="s">
        <v>2</v>
      </c>
      <c r="R65" t="s">
        <v>12</v>
      </c>
      <c r="S65" s="4">
        <v>46227</v>
      </c>
      <c r="T65" t="s">
        <v>13</v>
      </c>
      <c r="U65" t="s">
        <v>2</v>
      </c>
      <c r="V65" t="s">
        <v>14</v>
      </c>
      <c r="W65" t="s">
        <v>15</v>
      </c>
      <c r="X65" t="s">
        <v>16</v>
      </c>
      <c r="Y65" t="s">
        <v>136</v>
      </c>
      <c r="Z65" t="s">
        <v>137</v>
      </c>
      <c r="AA65" t="s">
        <v>18</v>
      </c>
      <c r="AB65" t="s">
        <v>19</v>
      </c>
      <c r="AC65" t="s">
        <v>140</v>
      </c>
      <c r="AD65" t="s">
        <v>34</v>
      </c>
      <c r="AE65" t="s">
        <v>21</v>
      </c>
      <c r="AF65" s="5">
        <v>32.1</v>
      </c>
      <c r="AG65" s="2">
        <v>866.7</v>
      </c>
      <c r="AH65" t="s">
        <v>22</v>
      </c>
      <c r="AI65" s="4">
        <v>46356</v>
      </c>
      <c r="AJ65" s="4">
        <v>46363</v>
      </c>
      <c r="AK65" s="4">
        <v>46227</v>
      </c>
      <c r="AL65" t="s">
        <v>2</v>
      </c>
      <c r="AM65" t="s">
        <v>2</v>
      </c>
      <c r="AN65" t="s">
        <v>23</v>
      </c>
    </row>
    <row r="66" spans="1:40" x14ac:dyDescent="0.25">
      <c r="A66" t="s">
        <v>0</v>
      </c>
      <c r="B66" t="s">
        <v>1</v>
      </c>
      <c r="C66" t="s">
        <v>2</v>
      </c>
      <c r="D66" t="s">
        <v>133</v>
      </c>
      <c r="E66" t="s">
        <v>134</v>
      </c>
      <c r="F66" t="s">
        <v>2</v>
      </c>
      <c r="G66" t="s">
        <v>6</v>
      </c>
      <c r="H66" t="str">
        <f t="shared" si="0"/>
        <v>PXBHZ-H65077LZZ</v>
      </c>
      <c r="I66" t="s">
        <v>141</v>
      </c>
      <c r="J66" t="s">
        <v>91</v>
      </c>
      <c r="K66" t="s">
        <v>92</v>
      </c>
      <c r="L66" s="2">
        <v>32.1</v>
      </c>
      <c r="M66" s="3">
        <v>8</v>
      </c>
      <c r="N66" t="s">
        <v>146</v>
      </c>
      <c r="O66" s="4">
        <v>46356</v>
      </c>
      <c r="P66" t="s">
        <v>11</v>
      </c>
      <c r="Q66" t="s">
        <v>2</v>
      </c>
      <c r="R66" t="s">
        <v>12</v>
      </c>
      <c r="S66" s="4">
        <v>46227</v>
      </c>
      <c r="T66" t="s">
        <v>13</v>
      </c>
      <c r="U66" t="s">
        <v>2</v>
      </c>
      <c r="V66" t="s">
        <v>14</v>
      </c>
      <c r="W66" t="s">
        <v>15</v>
      </c>
      <c r="X66" t="s">
        <v>16</v>
      </c>
      <c r="Y66" t="s">
        <v>136</v>
      </c>
      <c r="Z66" t="s">
        <v>137</v>
      </c>
      <c r="AA66" t="s">
        <v>18</v>
      </c>
      <c r="AB66" t="s">
        <v>19</v>
      </c>
      <c r="AC66" t="s">
        <v>147</v>
      </c>
      <c r="AD66" t="s">
        <v>148</v>
      </c>
      <c r="AE66" t="s">
        <v>21</v>
      </c>
      <c r="AF66" s="5">
        <v>32.1</v>
      </c>
      <c r="AG66" s="2">
        <v>256.8</v>
      </c>
      <c r="AH66" t="s">
        <v>22</v>
      </c>
      <c r="AI66" s="4">
        <v>46356</v>
      </c>
      <c r="AJ66" s="4">
        <v>46363</v>
      </c>
      <c r="AK66" s="4">
        <v>46227</v>
      </c>
      <c r="AL66" t="s">
        <v>2</v>
      </c>
      <c r="AM66" t="s">
        <v>2</v>
      </c>
      <c r="AN66" t="s">
        <v>23</v>
      </c>
    </row>
    <row r="67" spans="1:40" x14ac:dyDescent="0.25">
      <c r="A67" t="s">
        <v>0</v>
      </c>
      <c r="B67" t="s">
        <v>1</v>
      </c>
      <c r="C67" t="s">
        <v>2</v>
      </c>
      <c r="D67" t="s">
        <v>133</v>
      </c>
      <c r="E67" t="s">
        <v>134</v>
      </c>
      <c r="F67" t="s">
        <v>2</v>
      </c>
      <c r="G67" t="s">
        <v>6</v>
      </c>
      <c r="H67" t="str">
        <f t="shared" ref="H67:H130" si="1">J67&amp;LEFT(N67,3)</f>
        <v>PXBHZ-H65077CAE</v>
      </c>
      <c r="I67" t="s">
        <v>141</v>
      </c>
      <c r="J67" t="s">
        <v>91</v>
      </c>
      <c r="K67" t="s">
        <v>92</v>
      </c>
      <c r="L67" s="2">
        <v>32.1</v>
      </c>
      <c r="M67" s="3">
        <v>7</v>
      </c>
      <c r="N67" t="s">
        <v>149</v>
      </c>
      <c r="O67" s="4">
        <v>46356</v>
      </c>
      <c r="P67" t="s">
        <v>11</v>
      </c>
      <c r="Q67" t="s">
        <v>2</v>
      </c>
      <c r="R67" t="s">
        <v>12</v>
      </c>
      <c r="S67" s="4">
        <v>46227</v>
      </c>
      <c r="T67" t="s">
        <v>13</v>
      </c>
      <c r="U67" t="s">
        <v>2</v>
      </c>
      <c r="V67" t="s">
        <v>14</v>
      </c>
      <c r="W67" t="s">
        <v>15</v>
      </c>
      <c r="X67" t="s">
        <v>16</v>
      </c>
      <c r="Y67" t="s">
        <v>136</v>
      </c>
      <c r="Z67" t="s">
        <v>137</v>
      </c>
      <c r="AA67" t="s">
        <v>18</v>
      </c>
      <c r="AB67" t="s">
        <v>19</v>
      </c>
      <c r="AC67" t="s">
        <v>147</v>
      </c>
      <c r="AD67" t="s">
        <v>12</v>
      </c>
      <c r="AE67" t="s">
        <v>21</v>
      </c>
      <c r="AF67" s="5">
        <v>32.1</v>
      </c>
      <c r="AG67" s="2">
        <v>224.7</v>
      </c>
      <c r="AH67" t="s">
        <v>22</v>
      </c>
      <c r="AI67" s="4">
        <v>46356</v>
      </c>
      <c r="AJ67" s="4">
        <v>46363</v>
      </c>
      <c r="AK67" s="4">
        <v>46227</v>
      </c>
      <c r="AL67" t="s">
        <v>2</v>
      </c>
      <c r="AM67" t="s">
        <v>2</v>
      </c>
      <c r="AN67" t="s">
        <v>23</v>
      </c>
    </row>
    <row r="68" spans="1:40" x14ac:dyDescent="0.25">
      <c r="A68" t="s">
        <v>0</v>
      </c>
      <c r="B68" t="s">
        <v>1</v>
      </c>
      <c r="C68" t="s">
        <v>2</v>
      </c>
      <c r="D68" t="s">
        <v>133</v>
      </c>
      <c r="E68" t="s">
        <v>134</v>
      </c>
      <c r="F68" t="s">
        <v>2</v>
      </c>
      <c r="G68" t="s">
        <v>6</v>
      </c>
      <c r="H68" t="str">
        <f t="shared" si="1"/>
        <v>PXBHZ-H65077LZZ</v>
      </c>
      <c r="I68" t="s">
        <v>141</v>
      </c>
      <c r="J68" t="s">
        <v>91</v>
      </c>
      <c r="K68" t="s">
        <v>92</v>
      </c>
      <c r="L68" s="2">
        <v>32.1</v>
      </c>
      <c r="M68" s="3">
        <v>6</v>
      </c>
      <c r="N68" t="s">
        <v>95</v>
      </c>
      <c r="O68" s="4">
        <v>46356</v>
      </c>
      <c r="P68" t="s">
        <v>11</v>
      </c>
      <c r="Q68" t="s">
        <v>2</v>
      </c>
      <c r="R68" t="s">
        <v>12</v>
      </c>
      <c r="S68" s="4">
        <v>46227</v>
      </c>
      <c r="T68" t="s">
        <v>13</v>
      </c>
      <c r="U68" t="s">
        <v>2</v>
      </c>
      <c r="V68" t="s">
        <v>14</v>
      </c>
      <c r="W68" t="s">
        <v>15</v>
      </c>
      <c r="X68" t="s">
        <v>16</v>
      </c>
      <c r="Y68" t="s">
        <v>136</v>
      </c>
      <c r="Z68" t="s">
        <v>137</v>
      </c>
      <c r="AA68" t="s">
        <v>18</v>
      </c>
      <c r="AB68" t="s">
        <v>19</v>
      </c>
      <c r="AC68" t="s">
        <v>96</v>
      </c>
      <c r="AD68" t="s">
        <v>150</v>
      </c>
      <c r="AE68" t="s">
        <v>21</v>
      </c>
      <c r="AF68" s="5">
        <v>32.1</v>
      </c>
      <c r="AG68" s="2">
        <v>192.6</v>
      </c>
      <c r="AH68" t="s">
        <v>22</v>
      </c>
      <c r="AI68" s="4">
        <v>46356</v>
      </c>
      <c r="AJ68" s="4">
        <v>46363</v>
      </c>
      <c r="AK68" s="4">
        <v>46227</v>
      </c>
      <c r="AL68" t="s">
        <v>2</v>
      </c>
      <c r="AM68" t="s">
        <v>2</v>
      </c>
      <c r="AN68" t="s">
        <v>23</v>
      </c>
    </row>
    <row r="69" spans="1:40" x14ac:dyDescent="0.25">
      <c r="A69" t="s">
        <v>0</v>
      </c>
      <c r="B69" t="s">
        <v>1</v>
      </c>
      <c r="C69" t="s">
        <v>2</v>
      </c>
      <c r="D69" t="s">
        <v>133</v>
      </c>
      <c r="E69" t="s">
        <v>134</v>
      </c>
      <c r="F69" t="s">
        <v>2</v>
      </c>
      <c r="G69" t="s">
        <v>6</v>
      </c>
      <c r="H69" t="str">
        <f t="shared" si="1"/>
        <v>PXCBC-F67008LZZ</v>
      </c>
      <c r="I69" t="s">
        <v>151</v>
      </c>
      <c r="J69" t="s">
        <v>42</v>
      </c>
      <c r="K69" t="s">
        <v>43</v>
      </c>
      <c r="L69" s="2">
        <v>67.8</v>
      </c>
      <c r="M69" s="3">
        <v>121</v>
      </c>
      <c r="N69" t="s">
        <v>27</v>
      </c>
      <c r="O69" s="4">
        <v>46356</v>
      </c>
      <c r="P69" t="s">
        <v>11</v>
      </c>
      <c r="Q69" t="s">
        <v>2</v>
      </c>
      <c r="R69" t="s">
        <v>12</v>
      </c>
      <c r="S69" s="4">
        <v>46227</v>
      </c>
      <c r="T69" t="s">
        <v>13</v>
      </c>
      <c r="U69" t="s">
        <v>2</v>
      </c>
      <c r="V69" t="s">
        <v>14</v>
      </c>
      <c r="W69" t="s">
        <v>15</v>
      </c>
      <c r="X69" t="s">
        <v>16</v>
      </c>
      <c r="Y69" t="s">
        <v>136</v>
      </c>
      <c r="Z69" t="s">
        <v>137</v>
      </c>
      <c r="AA69" t="s">
        <v>18</v>
      </c>
      <c r="AB69" t="s">
        <v>19</v>
      </c>
      <c r="AC69" t="s">
        <v>20</v>
      </c>
      <c r="AD69" t="s">
        <v>12</v>
      </c>
      <c r="AE69" t="s">
        <v>21</v>
      </c>
      <c r="AF69" s="5">
        <v>67.8</v>
      </c>
      <c r="AG69" s="2">
        <v>8203.7999999999993</v>
      </c>
      <c r="AH69" t="s">
        <v>22</v>
      </c>
      <c r="AI69" s="4">
        <v>46356</v>
      </c>
      <c r="AJ69" s="4">
        <v>46363</v>
      </c>
      <c r="AK69" s="4">
        <v>46227</v>
      </c>
      <c r="AL69" t="s">
        <v>2</v>
      </c>
      <c r="AM69" t="s">
        <v>2</v>
      </c>
      <c r="AN69" t="s">
        <v>23</v>
      </c>
    </row>
    <row r="70" spans="1:40" x14ac:dyDescent="0.25">
      <c r="A70" t="s">
        <v>0</v>
      </c>
      <c r="B70" t="s">
        <v>1</v>
      </c>
      <c r="C70" t="s">
        <v>2</v>
      </c>
      <c r="D70" t="s">
        <v>133</v>
      </c>
      <c r="E70" t="s">
        <v>134</v>
      </c>
      <c r="F70" t="s">
        <v>2</v>
      </c>
      <c r="G70" t="s">
        <v>6</v>
      </c>
      <c r="H70" t="str">
        <f t="shared" si="1"/>
        <v>PXCBC-H63044IBC</v>
      </c>
      <c r="I70" t="s">
        <v>152</v>
      </c>
      <c r="J70" t="s">
        <v>124</v>
      </c>
      <c r="K70" t="s">
        <v>102</v>
      </c>
      <c r="L70" s="2">
        <v>38.75</v>
      </c>
      <c r="M70" s="3">
        <v>1</v>
      </c>
      <c r="N70" t="s">
        <v>55</v>
      </c>
      <c r="O70" s="4">
        <v>46356</v>
      </c>
      <c r="P70" t="s">
        <v>11</v>
      </c>
      <c r="Q70" t="s">
        <v>2</v>
      </c>
      <c r="R70" t="s">
        <v>12</v>
      </c>
      <c r="S70" s="4">
        <v>46227</v>
      </c>
      <c r="T70" t="s">
        <v>13</v>
      </c>
      <c r="U70" t="s">
        <v>2</v>
      </c>
      <c r="V70" t="s">
        <v>14</v>
      </c>
      <c r="W70" t="s">
        <v>15</v>
      </c>
      <c r="X70" t="s">
        <v>16</v>
      </c>
      <c r="Y70" t="s">
        <v>136</v>
      </c>
      <c r="Z70" t="s">
        <v>137</v>
      </c>
      <c r="AA70" t="s">
        <v>18</v>
      </c>
      <c r="AB70" t="s">
        <v>19</v>
      </c>
      <c r="AC70" t="s">
        <v>20</v>
      </c>
      <c r="AD70" t="s">
        <v>12</v>
      </c>
      <c r="AE70" t="s">
        <v>21</v>
      </c>
      <c r="AF70" s="5">
        <v>38.75</v>
      </c>
      <c r="AG70" s="2">
        <v>38.75</v>
      </c>
      <c r="AH70" t="s">
        <v>22</v>
      </c>
      <c r="AI70" s="4">
        <v>46356</v>
      </c>
      <c r="AJ70" s="4">
        <v>46363</v>
      </c>
      <c r="AK70" s="4">
        <v>46227</v>
      </c>
      <c r="AL70" t="s">
        <v>2</v>
      </c>
      <c r="AM70" t="s">
        <v>2</v>
      </c>
      <c r="AN70" t="s">
        <v>23</v>
      </c>
    </row>
    <row r="71" spans="1:40" x14ac:dyDescent="0.25">
      <c r="A71" t="s">
        <v>0</v>
      </c>
      <c r="B71" t="s">
        <v>1</v>
      </c>
      <c r="C71" t="s">
        <v>2</v>
      </c>
      <c r="D71" t="s">
        <v>133</v>
      </c>
      <c r="E71" t="s">
        <v>134</v>
      </c>
      <c r="F71" t="s">
        <v>2</v>
      </c>
      <c r="G71" t="s">
        <v>6</v>
      </c>
      <c r="H71" t="str">
        <f t="shared" si="1"/>
        <v>PXCBC-H65077LZZ</v>
      </c>
      <c r="I71" t="s">
        <v>153</v>
      </c>
      <c r="J71" t="s">
        <v>154</v>
      </c>
      <c r="K71" t="s">
        <v>92</v>
      </c>
      <c r="L71" s="2">
        <v>27.9</v>
      </c>
      <c r="M71" s="3">
        <v>10</v>
      </c>
      <c r="N71" t="s">
        <v>144</v>
      </c>
      <c r="O71" s="4">
        <v>46356</v>
      </c>
      <c r="P71" t="s">
        <v>11</v>
      </c>
      <c r="Q71" t="s">
        <v>2</v>
      </c>
      <c r="R71" t="s">
        <v>12</v>
      </c>
      <c r="S71" s="4">
        <v>46227</v>
      </c>
      <c r="T71" t="s">
        <v>13</v>
      </c>
      <c r="U71" t="s">
        <v>2</v>
      </c>
      <c r="V71" t="s">
        <v>14</v>
      </c>
      <c r="W71" t="s">
        <v>15</v>
      </c>
      <c r="X71" t="s">
        <v>16</v>
      </c>
      <c r="Y71" t="s">
        <v>136</v>
      </c>
      <c r="Z71" t="s">
        <v>137</v>
      </c>
      <c r="AA71" t="s">
        <v>18</v>
      </c>
      <c r="AB71" t="s">
        <v>19</v>
      </c>
      <c r="AC71" t="s">
        <v>140</v>
      </c>
      <c r="AD71" t="s">
        <v>12</v>
      </c>
      <c r="AE71" t="s">
        <v>21</v>
      </c>
      <c r="AF71" s="5">
        <v>27.9</v>
      </c>
      <c r="AG71" s="2">
        <v>279</v>
      </c>
      <c r="AH71" t="s">
        <v>22</v>
      </c>
      <c r="AI71" s="4">
        <v>46356</v>
      </c>
      <c r="AJ71" s="4">
        <v>46363</v>
      </c>
      <c r="AK71" s="4">
        <v>46227</v>
      </c>
      <c r="AL71" t="s">
        <v>2</v>
      </c>
      <c r="AM71" t="s">
        <v>2</v>
      </c>
      <c r="AN71" t="s">
        <v>23</v>
      </c>
    </row>
    <row r="72" spans="1:40" x14ac:dyDescent="0.25">
      <c r="A72" t="s">
        <v>0</v>
      </c>
      <c r="B72" t="s">
        <v>1</v>
      </c>
      <c r="C72" t="s">
        <v>2</v>
      </c>
      <c r="D72" t="s">
        <v>133</v>
      </c>
      <c r="E72" t="s">
        <v>134</v>
      </c>
      <c r="F72" t="s">
        <v>2</v>
      </c>
      <c r="G72" t="s">
        <v>6</v>
      </c>
      <c r="H72" t="str">
        <f t="shared" si="1"/>
        <v>PXCBC-M65222LZZ</v>
      </c>
      <c r="I72" t="s">
        <v>155</v>
      </c>
      <c r="J72" t="s">
        <v>105</v>
      </c>
      <c r="K72" t="s">
        <v>106</v>
      </c>
      <c r="L72" s="2">
        <v>21.35</v>
      </c>
      <c r="M72" s="3">
        <v>1</v>
      </c>
      <c r="N72" t="s">
        <v>156</v>
      </c>
      <c r="O72" s="4">
        <v>46356</v>
      </c>
      <c r="P72" t="s">
        <v>11</v>
      </c>
      <c r="Q72" t="s">
        <v>2</v>
      </c>
      <c r="R72" t="s">
        <v>12</v>
      </c>
      <c r="S72" s="4">
        <v>46227</v>
      </c>
      <c r="T72" t="s">
        <v>13</v>
      </c>
      <c r="U72" t="s">
        <v>2</v>
      </c>
      <c r="V72" t="s">
        <v>14</v>
      </c>
      <c r="W72" t="s">
        <v>15</v>
      </c>
      <c r="X72" t="s">
        <v>16</v>
      </c>
      <c r="Y72" t="s">
        <v>136</v>
      </c>
      <c r="Z72" t="s">
        <v>137</v>
      </c>
      <c r="AA72" t="s">
        <v>18</v>
      </c>
      <c r="AB72" t="s">
        <v>19</v>
      </c>
      <c r="AC72" t="s">
        <v>157</v>
      </c>
      <c r="AD72" t="s">
        <v>12</v>
      </c>
      <c r="AE72" t="s">
        <v>21</v>
      </c>
      <c r="AF72" s="5">
        <v>21.35</v>
      </c>
      <c r="AG72" s="2">
        <v>21.35</v>
      </c>
      <c r="AH72" t="s">
        <v>22</v>
      </c>
      <c r="AI72" s="4">
        <v>46356</v>
      </c>
      <c r="AJ72" s="4">
        <v>46363</v>
      </c>
      <c r="AK72" s="4">
        <v>46227</v>
      </c>
      <c r="AL72" t="s">
        <v>2</v>
      </c>
      <c r="AM72" t="s">
        <v>2</v>
      </c>
      <c r="AN72" t="s">
        <v>23</v>
      </c>
    </row>
    <row r="73" spans="1:40" x14ac:dyDescent="0.25">
      <c r="A73" t="s">
        <v>0</v>
      </c>
      <c r="B73" t="s">
        <v>1</v>
      </c>
      <c r="C73" t="s">
        <v>2</v>
      </c>
      <c r="D73" t="s">
        <v>133</v>
      </c>
      <c r="E73" t="s">
        <v>134</v>
      </c>
      <c r="F73" t="s">
        <v>2</v>
      </c>
      <c r="G73" t="s">
        <v>6</v>
      </c>
      <c r="H73" t="str">
        <f t="shared" si="1"/>
        <v>PXCBC-M67115LZZ</v>
      </c>
      <c r="I73" t="s">
        <v>158</v>
      </c>
      <c r="J73" t="s">
        <v>53</v>
      </c>
      <c r="K73" t="s">
        <v>54</v>
      </c>
      <c r="L73" s="2">
        <v>86</v>
      </c>
      <c r="M73" s="3">
        <v>2</v>
      </c>
      <c r="N73" t="s">
        <v>27</v>
      </c>
      <c r="O73" s="4">
        <v>46356</v>
      </c>
      <c r="P73" t="s">
        <v>11</v>
      </c>
      <c r="Q73" t="s">
        <v>2</v>
      </c>
      <c r="R73" t="s">
        <v>12</v>
      </c>
      <c r="S73" s="4">
        <v>46227</v>
      </c>
      <c r="T73" t="s">
        <v>13</v>
      </c>
      <c r="U73" t="s">
        <v>2</v>
      </c>
      <c r="V73" t="s">
        <v>14</v>
      </c>
      <c r="W73" t="s">
        <v>15</v>
      </c>
      <c r="X73" t="s">
        <v>16</v>
      </c>
      <c r="Y73" t="s">
        <v>136</v>
      </c>
      <c r="Z73" t="s">
        <v>137</v>
      </c>
      <c r="AA73" t="s">
        <v>18</v>
      </c>
      <c r="AB73" t="s">
        <v>19</v>
      </c>
      <c r="AC73" t="s">
        <v>20</v>
      </c>
      <c r="AD73" t="s">
        <v>34</v>
      </c>
      <c r="AE73" t="s">
        <v>21</v>
      </c>
      <c r="AF73" s="5">
        <v>86</v>
      </c>
      <c r="AG73" s="2">
        <v>172</v>
      </c>
      <c r="AH73" t="s">
        <v>22</v>
      </c>
      <c r="AI73" s="4">
        <v>46356</v>
      </c>
      <c r="AJ73" s="4">
        <v>46363</v>
      </c>
      <c r="AK73" s="4">
        <v>46227</v>
      </c>
      <c r="AL73" t="s">
        <v>2</v>
      </c>
      <c r="AM73" t="s">
        <v>2</v>
      </c>
      <c r="AN73" t="s">
        <v>23</v>
      </c>
    </row>
    <row r="74" spans="1:40" x14ac:dyDescent="0.25">
      <c r="A74" t="s">
        <v>0</v>
      </c>
      <c r="B74" t="s">
        <v>1</v>
      </c>
      <c r="C74" t="s">
        <v>2</v>
      </c>
      <c r="D74" t="s">
        <v>133</v>
      </c>
      <c r="E74" t="s">
        <v>134</v>
      </c>
      <c r="F74" t="s">
        <v>2</v>
      </c>
      <c r="G74" t="s">
        <v>6</v>
      </c>
      <c r="H74" t="str">
        <f t="shared" si="1"/>
        <v>PXCBC-M67115IBC</v>
      </c>
      <c r="I74" t="s">
        <v>158</v>
      </c>
      <c r="J74" t="s">
        <v>53</v>
      </c>
      <c r="K74" t="s">
        <v>54</v>
      </c>
      <c r="L74" s="2">
        <v>86</v>
      </c>
      <c r="M74" s="3">
        <v>30</v>
      </c>
      <c r="N74" t="s">
        <v>55</v>
      </c>
      <c r="O74" s="4">
        <v>46356</v>
      </c>
      <c r="P74" t="s">
        <v>11</v>
      </c>
      <c r="Q74" t="s">
        <v>2</v>
      </c>
      <c r="R74" t="s">
        <v>12</v>
      </c>
      <c r="S74" s="4">
        <v>46227</v>
      </c>
      <c r="T74" t="s">
        <v>13</v>
      </c>
      <c r="U74" t="s">
        <v>2</v>
      </c>
      <c r="V74" t="s">
        <v>14</v>
      </c>
      <c r="W74" t="s">
        <v>15</v>
      </c>
      <c r="X74" t="s">
        <v>16</v>
      </c>
      <c r="Y74" t="s">
        <v>136</v>
      </c>
      <c r="Z74" t="s">
        <v>137</v>
      </c>
      <c r="AA74" t="s">
        <v>18</v>
      </c>
      <c r="AB74" t="s">
        <v>19</v>
      </c>
      <c r="AC74" t="s">
        <v>20</v>
      </c>
      <c r="AD74" t="s">
        <v>12</v>
      </c>
      <c r="AE74" t="s">
        <v>21</v>
      </c>
      <c r="AF74" s="5">
        <v>86</v>
      </c>
      <c r="AG74" s="2">
        <v>2580</v>
      </c>
      <c r="AH74" t="s">
        <v>22</v>
      </c>
      <c r="AI74" s="4">
        <v>46356</v>
      </c>
      <c r="AJ74" s="4">
        <v>46363</v>
      </c>
      <c r="AK74" s="4">
        <v>46227</v>
      </c>
      <c r="AL74" t="s">
        <v>2</v>
      </c>
      <c r="AM74" t="s">
        <v>2</v>
      </c>
      <c r="AN74" t="s">
        <v>23</v>
      </c>
    </row>
    <row r="75" spans="1:40" x14ac:dyDescent="0.25">
      <c r="A75" t="s">
        <v>0</v>
      </c>
      <c r="B75" t="s">
        <v>1</v>
      </c>
      <c r="C75" t="s">
        <v>2</v>
      </c>
      <c r="D75" t="s">
        <v>133</v>
      </c>
      <c r="E75" t="s">
        <v>134</v>
      </c>
      <c r="F75" t="s">
        <v>2</v>
      </c>
      <c r="G75" t="s">
        <v>6</v>
      </c>
      <c r="H75" t="str">
        <f t="shared" si="1"/>
        <v>PXCEU-F67008FAB</v>
      </c>
      <c r="I75" t="s">
        <v>159</v>
      </c>
      <c r="J75" t="s">
        <v>126</v>
      </c>
      <c r="K75" t="s">
        <v>43</v>
      </c>
      <c r="L75" s="2">
        <v>85</v>
      </c>
      <c r="M75" s="3">
        <v>1</v>
      </c>
      <c r="N75" t="s">
        <v>10</v>
      </c>
      <c r="O75" s="4">
        <v>46356</v>
      </c>
      <c r="P75" t="s">
        <v>11</v>
      </c>
      <c r="Q75" t="s">
        <v>2</v>
      </c>
      <c r="R75" t="s">
        <v>12</v>
      </c>
      <c r="S75" s="4">
        <v>46227</v>
      </c>
      <c r="T75" t="s">
        <v>13</v>
      </c>
      <c r="U75" t="s">
        <v>2</v>
      </c>
      <c r="V75" t="s">
        <v>14</v>
      </c>
      <c r="W75" t="s">
        <v>15</v>
      </c>
      <c r="X75" t="s">
        <v>16</v>
      </c>
      <c r="Y75" t="s">
        <v>136</v>
      </c>
      <c r="Z75" t="s">
        <v>137</v>
      </c>
      <c r="AA75" t="s">
        <v>18</v>
      </c>
      <c r="AB75" t="s">
        <v>19</v>
      </c>
      <c r="AC75" t="s">
        <v>20</v>
      </c>
      <c r="AD75" t="s">
        <v>12</v>
      </c>
      <c r="AE75" t="s">
        <v>21</v>
      </c>
      <c r="AF75" s="5">
        <v>85</v>
      </c>
      <c r="AG75" s="2">
        <v>85</v>
      </c>
      <c r="AH75" t="s">
        <v>22</v>
      </c>
      <c r="AI75" s="4">
        <v>46356</v>
      </c>
      <c r="AJ75" s="4">
        <v>46363</v>
      </c>
      <c r="AK75" s="4">
        <v>46227</v>
      </c>
      <c r="AL75" t="s">
        <v>2</v>
      </c>
      <c r="AM75" t="s">
        <v>2</v>
      </c>
      <c r="AN75" t="s">
        <v>23</v>
      </c>
    </row>
    <row r="76" spans="1:40" x14ac:dyDescent="0.25">
      <c r="A76" t="s">
        <v>0</v>
      </c>
      <c r="B76" t="s">
        <v>1</v>
      </c>
      <c r="C76" t="s">
        <v>2</v>
      </c>
      <c r="D76" t="s">
        <v>133</v>
      </c>
      <c r="E76" t="s">
        <v>134</v>
      </c>
      <c r="F76" t="s">
        <v>2</v>
      </c>
      <c r="G76" t="s">
        <v>6</v>
      </c>
      <c r="H76" t="str">
        <f t="shared" si="1"/>
        <v>PXCEU-F67008FAB</v>
      </c>
      <c r="I76" t="s">
        <v>160</v>
      </c>
      <c r="J76" t="s">
        <v>126</v>
      </c>
      <c r="K76" t="s">
        <v>43</v>
      </c>
      <c r="L76" s="2">
        <v>85</v>
      </c>
      <c r="M76" s="3">
        <v>18</v>
      </c>
      <c r="N76" t="s">
        <v>10</v>
      </c>
      <c r="O76" s="4">
        <v>46356</v>
      </c>
      <c r="P76" t="s">
        <v>11</v>
      </c>
      <c r="Q76" t="s">
        <v>2</v>
      </c>
      <c r="R76" t="s">
        <v>12</v>
      </c>
      <c r="S76" s="4">
        <v>46227</v>
      </c>
      <c r="T76" t="s">
        <v>13</v>
      </c>
      <c r="U76" t="s">
        <v>2</v>
      </c>
      <c r="V76" t="s">
        <v>14</v>
      </c>
      <c r="W76" t="s">
        <v>15</v>
      </c>
      <c r="X76" t="s">
        <v>16</v>
      </c>
      <c r="Y76" t="s">
        <v>136</v>
      </c>
      <c r="Z76" t="s">
        <v>137</v>
      </c>
      <c r="AA76" t="s">
        <v>18</v>
      </c>
      <c r="AB76" t="s">
        <v>19</v>
      </c>
      <c r="AC76" t="s">
        <v>20</v>
      </c>
      <c r="AD76" t="s">
        <v>12</v>
      </c>
      <c r="AE76" t="s">
        <v>21</v>
      </c>
      <c r="AF76" s="5">
        <v>85</v>
      </c>
      <c r="AG76" s="2">
        <v>1530</v>
      </c>
      <c r="AH76" t="s">
        <v>22</v>
      </c>
      <c r="AI76" s="4">
        <v>46356</v>
      </c>
      <c r="AJ76" s="4">
        <v>46363</v>
      </c>
      <c r="AK76" s="4">
        <v>46227</v>
      </c>
      <c r="AL76" t="s">
        <v>2</v>
      </c>
      <c r="AM76" t="s">
        <v>2</v>
      </c>
      <c r="AN76" t="s">
        <v>23</v>
      </c>
    </row>
    <row r="77" spans="1:40" x14ac:dyDescent="0.25">
      <c r="A77" t="s">
        <v>0</v>
      </c>
      <c r="B77" t="s">
        <v>1</v>
      </c>
      <c r="C77" t="s">
        <v>2</v>
      </c>
      <c r="D77" t="s">
        <v>133</v>
      </c>
      <c r="E77" t="s">
        <v>134</v>
      </c>
      <c r="F77" t="s">
        <v>2</v>
      </c>
      <c r="G77" t="s">
        <v>6</v>
      </c>
      <c r="H77" t="str">
        <f t="shared" si="1"/>
        <v>PXCEU-F67043KBG</v>
      </c>
      <c r="I77" t="s">
        <v>161</v>
      </c>
      <c r="J77" t="s">
        <v>29</v>
      </c>
      <c r="K77" t="s">
        <v>26</v>
      </c>
      <c r="L77" s="2">
        <v>89.68</v>
      </c>
      <c r="M77" s="3">
        <v>2</v>
      </c>
      <c r="N77" t="s">
        <v>30</v>
      </c>
      <c r="O77" s="4">
        <v>46356</v>
      </c>
      <c r="P77" t="s">
        <v>11</v>
      </c>
      <c r="Q77" t="s">
        <v>2</v>
      </c>
      <c r="R77" t="s">
        <v>12</v>
      </c>
      <c r="S77" s="4">
        <v>46227</v>
      </c>
      <c r="T77" t="s">
        <v>13</v>
      </c>
      <c r="U77" t="s">
        <v>2</v>
      </c>
      <c r="V77" t="s">
        <v>14</v>
      </c>
      <c r="W77" t="s">
        <v>15</v>
      </c>
      <c r="X77" t="s">
        <v>16</v>
      </c>
      <c r="Y77" t="s">
        <v>136</v>
      </c>
      <c r="Z77" t="s">
        <v>137</v>
      </c>
      <c r="AA77" t="s">
        <v>18</v>
      </c>
      <c r="AB77" t="s">
        <v>19</v>
      </c>
      <c r="AC77" t="s">
        <v>20</v>
      </c>
      <c r="AD77" t="s">
        <v>12</v>
      </c>
      <c r="AE77" t="s">
        <v>21</v>
      </c>
      <c r="AF77" s="5">
        <v>89.68</v>
      </c>
      <c r="AG77" s="2">
        <v>179.36</v>
      </c>
      <c r="AH77" t="s">
        <v>22</v>
      </c>
      <c r="AI77" s="4">
        <v>46356</v>
      </c>
      <c r="AJ77" s="4">
        <v>46363</v>
      </c>
      <c r="AK77" s="4">
        <v>46227</v>
      </c>
      <c r="AL77" t="s">
        <v>2</v>
      </c>
      <c r="AM77" t="s">
        <v>2</v>
      </c>
      <c r="AN77" t="s">
        <v>23</v>
      </c>
    </row>
    <row r="78" spans="1:40" x14ac:dyDescent="0.25">
      <c r="A78" t="s">
        <v>0</v>
      </c>
      <c r="B78" t="s">
        <v>1</v>
      </c>
      <c r="C78" t="s">
        <v>2</v>
      </c>
      <c r="D78" t="s">
        <v>133</v>
      </c>
      <c r="E78" t="s">
        <v>134</v>
      </c>
      <c r="F78" t="s">
        <v>2</v>
      </c>
      <c r="G78" t="s">
        <v>6</v>
      </c>
      <c r="H78" t="str">
        <f t="shared" si="1"/>
        <v>PXCEU-F67043FAB</v>
      </c>
      <c r="I78" t="s">
        <v>161</v>
      </c>
      <c r="J78" t="s">
        <v>29</v>
      </c>
      <c r="K78" t="s">
        <v>26</v>
      </c>
      <c r="L78" s="2">
        <v>89.68</v>
      </c>
      <c r="M78" s="3">
        <v>1</v>
      </c>
      <c r="N78" t="s">
        <v>10</v>
      </c>
      <c r="O78" s="4">
        <v>46356</v>
      </c>
      <c r="P78" t="s">
        <v>11</v>
      </c>
      <c r="Q78" t="s">
        <v>2</v>
      </c>
      <c r="R78" t="s">
        <v>12</v>
      </c>
      <c r="S78" s="4">
        <v>46227</v>
      </c>
      <c r="T78" t="s">
        <v>13</v>
      </c>
      <c r="U78" t="s">
        <v>2</v>
      </c>
      <c r="V78" t="s">
        <v>14</v>
      </c>
      <c r="W78" t="s">
        <v>15</v>
      </c>
      <c r="X78" t="s">
        <v>16</v>
      </c>
      <c r="Y78" t="s">
        <v>136</v>
      </c>
      <c r="Z78" t="s">
        <v>137</v>
      </c>
      <c r="AA78" t="s">
        <v>18</v>
      </c>
      <c r="AB78" t="s">
        <v>19</v>
      </c>
      <c r="AC78" t="s">
        <v>20</v>
      </c>
      <c r="AD78" t="s">
        <v>34</v>
      </c>
      <c r="AE78" t="s">
        <v>21</v>
      </c>
      <c r="AF78" s="5">
        <v>89.68</v>
      </c>
      <c r="AG78" s="2">
        <v>89.68</v>
      </c>
      <c r="AH78" t="s">
        <v>22</v>
      </c>
      <c r="AI78" s="4">
        <v>46356</v>
      </c>
      <c r="AJ78" s="4">
        <v>46363</v>
      </c>
      <c r="AK78" s="4">
        <v>46227</v>
      </c>
      <c r="AL78" t="s">
        <v>2</v>
      </c>
      <c r="AM78" t="s">
        <v>2</v>
      </c>
      <c r="AN78" t="s">
        <v>23</v>
      </c>
    </row>
    <row r="79" spans="1:40" x14ac:dyDescent="0.25">
      <c r="A79" t="s">
        <v>0</v>
      </c>
      <c r="B79" t="s">
        <v>1</v>
      </c>
      <c r="C79" t="s">
        <v>2</v>
      </c>
      <c r="D79" t="s">
        <v>133</v>
      </c>
      <c r="E79" t="s">
        <v>134</v>
      </c>
      <c r="F79" t="s">
        <v>2</v>
      </c>
      <c r="G79" t="s">
        <v>6</v>
      </c>
      <c r="H79" t="str">
        <f t="shared" si="1"/>
        <v>PXCEU-F67043FAB</v>
      </c>
      <c r="I79" t="s">
        <v>162</v>
      </c>
      <c r="J79" t="s">
        <v>29</v>
      </c>
      <c r="K79" t="s">
        <v>26</v>
      </c>
      <c r="L79" s="2">
        <v>89.68</v>
      </c>
      <c r="M79" s="3">
        <v>39</v>
      </c>
      <c r="N79" t="s">
        <v>10</v>
      </c>
      <c r="O79" s="4">
        <v>46356</v>
      </c>
      <c r="P79" t="s">
        <v>11</v>
      </c>
      <c r="Q79" t="s">
        <v>2</v>
      </c>
      <c r="R79" t="s">
        <v>12</v>
      </c>
      <c r="S79" s="4">
        <v>46227</v>
      </c>
      <c r="T79" t="s">
        <v>13</v>
      </c>
      <c r="U79" t="s">
        <v>2</v>
      </c>
      <c r="V79" t="s">
        <v>14</v>
      </c>
      <c r="W79" t="s">
        <v>15</v>
      </c>
      <c r="X79" t="s">
        <v>16</v>
      </c>
      <c r="Y79" t="s">
        <v>136</v>
      </c>
      <c r="Z79" t="s">
        <v>137</v>
      </c>
      <c r="AA79" t="s">
        <v>18</v>
      </c>
      <c r="AB79" t="s">
        <v>19</v>
      </c>
      <c r="AC79" t="s">
        <v>20</v>
      </c>
      <c r="AD79" t="s">
        <v>12</v>
      </c>
      <c r="AE79" t="s">
        <v>21</v>
      </c>
      <c r="AF79" s="5">
        <v>89.68</v>
      </c>
      <c r="AG79" s="2">
        <v>3497.52</v>
      </c>
      <c r="AH79" t="s">
        <v>22</v>
      </c>
      <c r="AI79" s="4">
        <v>46356</v>
      </c>
      <c r="AJ79" s="4">
        <v>46363</v>
      </c>
      <c r="AK79" s="4">
        <v>46227</v>
      </c>
      <c r="AL79" t="s">
        <v>2</v>
      </c>
      <c r="AM79" t="s">
        <v>2</v>
      </c>
      <c r="AN79" t="s">
        <v>23</v>
      </c>
    </row>
    <row r="80" spans="1:40" x14ac:dyDescent="0.25">
      <c r="A80" t="s">
        <v>0</v>
      </c>
      <c r="B80" t="s">
        <v>1</v>
      </c>
      <c r="C80" t="s">
        <v>2</v>
      </c>
      <c r="D80" t="s">
        <v>133</v>
      </c>
      <c r="E80" t="s">
        <v>134</v>
      </c>
      <c r="F80" t="s">
        <v>2</v>
      </c>
      <c r="G80" t="s">
        <v>6</v>
      </c>
      <c r="H80" t="str">
        <f t="shared" si="1"/>
        <v>PXCEU-F67081KBG</v>
      </c>
      <c r="I80" t="s">
        <v>163</v>
      </c>
      <c r="J80" t="s">
        <v>32</v>
      </c>
      <c r="K80" t="s">
        <v>33</v>
      </c>
      <c r="L80" s="2">
        <v>45.5</v>
      </c>
      <c r="M80" s="3">
        <v>1</v>
      </c>
      <c r="N80" t="s">
        <v>30</v>
      </c>
      <c r="O80" s="4">
        <v>46356</v>
      </c>
      <c r="P80" t="s">
        <v>11</v>
      </c>
      <c r="Q80" t="s">
        <v>2</v>
      </c>
      <c r="R80" t="s">
        <v>12</v>
      </c>
      <c r="S80" s="4">
        <v>46227</v>
      </c>
      <c r="T80" t="s">
        <v>13</v>
      </c>
      <c r="U80" t="s">
        <v>2</v>
      </c>
      <c r="V80" t="s">
        <v>14</v>
      </c>
      <c r="W80" t="s">
        <v>15</v>
      </c>
      <c r="X80" t="s">
        <v>16</v>
      </c>
      <c r="Y80" t="s">
        <v>136</v>
      </c>
      <c r="Z80" t="s">
        <v>137</v>
      </c>
      <c r="AA80" t="s">
        <v>18</v>
      </c>
      <c r="AB80" t="s">
        <v>19</v>
      </c>
      <c r="AC80" t="s">
        <v>20</v>
      </c>
      <c r="AD80" t="s">
        <v>12</v>
      </c>
      <c r="AE80" t="s">
        <v>21</v>
      </c>
      <c r="AF80" s="5">
        <v>45.5</v>
      </c>
      <c r="AG80" s="2">
        <v>45.5</v>
      </c>
      <c r="AH80" t="s">
        <v>22</v>
      </c>
      <c r="AI80" s="4">
        <v>46356</v>
      </c>
      <c r="AJ80" s="4">
        <v>46363</v>
      </c>
      <c r="AK80" s="4">
        <v>46227</v>
      </c>
      <c r="AL80" t="s">
        <v>2</v>
      </c>
      <c r="AM80" t="s">
        <v>2</v>
      </c>
      <c r="AN80" t="s">
        <v>23</v>
      </c>
    </row>
    <row r="81" spans="1:40" x14ac:dyDescent="0.25">
      <c r="A81" t="s">
        <v>0</v>
      </c>
      <c r="B81" t="s">
        <v>1</v>
      </c>
      <c r="C81" t="s">
        <v>2</v>
      </c>
      <c r="D81" t="s">
        <v>133</v>
      </c>
      <c r="E81" t="s">
        <v>134</v>
      </c>
      <c r="F81" t="s">
        <v>2</v>
      </c>
      <c r="G81" t="s">
        <v>6</v>
      </c>
      <c r="H81" t="str">
        <f t="shared" si="1"/>
        <v>PXCEU-F67081FAB</v>
      </c>
      <c r="I81" t="s">
        <v>164</v>
      </c>
      <c r="J81" t="s">
        <v>32</v>
      </c>
      <c r="K81" t="s">
        <v>33</v>
      </c>
      <c r="L81" s="2">
        <v>45.5</v>
      </c>
      <c r="M81" s="3">
        <v>36</v>
      </c>
      <c r="N81" t="s">
        <v>10</v>
      </c>
      <c r="O81" s="4">
        <v>46356</v>
      </c>
      <c r="P81" t="s">
        <v>11</v>
      </c>
      <c r="Q81" t="s">
        <v>2</v>
      </c>
      <c r="R81" t="s">
        <v>12</v>
      </c>
      <c r="S81" s="4">
        <v>46227</v>
      </c>
      <c r="T81" t="s">
        <v>13</v>
      </c>
      <c r="U81" t="s">
        <v>2</v>
      </c>
      <c r="V81" t="s">
        <v>14</v>
      </c>
      <c r="W81" t="s">
        <v>15</v>
      </c>
      <c r="X81" t="s">
        <v>16</v>
      </c>
      <c r="Y81" t="s">
        <v>136</v>
      </c>
      <c r="Z81" t="s">
        <v>137</v>
      </c>
      <c r="AA81" t="s">
        <v>18</v>
      </c>
      <c r="AB81" t="s">
        <v>19</v>
      </c>
      <c r="AC81" t="s">
        <v>20</v>
      </c>
      <c r="AD81" t="s">
        <v>12</v>
      </c>
      <c r="AE81" t="s">
        <v>21</v>
      </c>
      <c r="AF81" s="5">
        <v>45.5</v>
      </c>
      <c r="AG81" s="2">
        <v>1638</v>
      </c>
      <c r="AH81" t="s">
        <v>22</v>
      </c>
      <c r="AI81" s="4">
        <v>46356</v>
      </c>
      <c r="AJ81" s="4">
        <v>46363</v>
      </c>
      <c r="AK81" s="4">
        <v>46227</v>
      </c>
      <c r="AL81" t="s">
        <v>2</v>
      </c>
      <c r="AM81" t="s">
        <v>2</v>
      </c>
      <c r="AN81" t="s">
        <v>23</v>
      </c>
    </row>
    <row r="82" spans="1:40" x14ac:dyDescent="0.25">
      <c r="A82" t="s">
        <v>0</v>
      </c>
      <c r="B82" t="s">
        <v>2</v>
      </c>
      <c r="C82" t="s">
        <v>2</v>
      </c>
      <c r="D82" t="s">
        <v>133</v>
      </c>
      <c r="E82" t="s">
        <v>134</v>
      </c>
      <c r="F82" t="s">
        <v>2</v>
      </c>
      <c r="G82" t="s">
        <v>6</v>
      </c>
      <c r="H82" t="str">
        <f t="shared" si="1"/>
        <v>PXBHZ-H65077LZZ</v>
      </c>
      <c r="I82" t="s">
        <v>164</v>
      </c>
      <c r="J82" t="s">
        <v>91</v>
      </c>
      <c r="K82" t="s">
        <v>92</v>
      </c>
      <c r="L82" s="2">
        <v>32.1</v>
      </c>
      <c r="M82" s="3">
        <v>4</v>
      </c>
      <c r="N82" t="s">
        <v>93</v>
      </c>
      <c r="O82" s="4">
        <v>46350</v>
      </c>
      <c r="P82" t="s">
        <v>11</v>
      </c>
      <c r="Q82" t="s">
        <v>2</v>
      </c>
      <c r="R82" t="s">
        <v>12</v>
      </c>
      <c r="S82" s="4">
        <v>46227</v>
      </c>
      <c r="T82" t="s">
        <v>13</v>
      </c>
      <c r="U82" t="s">
        <v>2</v>
      </c>
      <c r="V82" t="s">
        <v>14</v>
      </c>
      <c r="W82" t="s">
        <v>15</v>
      </c>
      <c r="X82" t="s">
        <v>16</v>
      </c>
      <c r="Y82" t="s">
        <v>136</v>
      </c>
      <c r="Z82" t="s">
        <v>137</v>
      </c>
      <c r="AA82" t="s">
        <v>18</v>
      </c>
      <c r="AB82" t="s">
        <v>165</v>
      </c>
      <c r="AC82" t="s">
        <v>94</v>
      </c>
      <c r="AD82" t="s">
        <v>84</v>
      </c>
      <c r="AE82" t="s">
        <v>21</v>
      </c>
      <c r="AF82" s="5">
        <v>32.1</v>
      </c>
      <c r="AG82" s="2">
        <v>128.4</v>
      </c>
      <c r="AH82" t="s">
        <v>22</v>
      </c>
      <c r="AI82" s="4">
        <v>46350</v>
      </c>
      <c r="AJ82" s="4">
        <v>46357</v>
      </c>
      <c r="AK82" s="4">
        <v>46227</v>
      </c>
      <c r="AL82" t="s">
        <v>2</v>
      </c>
      <c r="AM82" t="s">
        <v>2</v>
      </c>
      <c r="AN82" t="s">
        <v>23</v>
      </c>
    </row>
    <row r="83" spans="1:40" x14ac:dyDescent="0.25">
      <c r="A83" t="s">
        <v>0</v>
      </c>
      <c r="B83" t="s">
        <v>2</v>
      </c>
      <c r="C83" t="s">
        <v>2</v>
      </c>
      <c r="D83" t="s">
        <v>133</v>
      </c>
      <c r="E83" t="s">
        <v>134</v>
      </c>
      <c r="F83" t="s">
        <v>2</v>
      </c>
      <c r="G83" t="s">
        <v>6</v>
      </c>
      <c r="H83" t="str">
        <f t="shared" si="1"/>
        <v>PXBHZ-H65077LZZ</v>
      </c>
      <c r="I83" t="s">
        <v>164</v>
      </c>
      <c r="J83" t="s">
        <v>91</v>
      </c>
      <c r="K83" t="s">
        <v>92</v>
      </c>
      <c r="L83" s="2">
        <v>32.1</v>
      </c>
      <c r="M83" s="3">
        <v>4</v>
      </c>
      <c r="N83" t="s">
        <v>144</v>
      </c>
      <c r="O83" s="4">
        <v>46350</v>
      </c>
      <c r="P83" t="s">
        <v>11</v>
      </c>
      <c r="Q83" t="s">
        <v>2</v>
      </c>
      <c r="R83" t="s">
        <v>12</v>
      </c>
      <c r="S83" s="4">
        <v>46227</v>
      </c>
      <c r="T83" t="s">
        <v>13</v>
      </c>
      <c r="U83" t="s">
        <v>2</v>
      </c>
      <c r="V83" t="s">
        <v>14</v>
      </c>
      <c r="W83" t="s">
        <v>15</v>
      </c>
      <c r="X83" t="s">
        <v>16</v>
      </c>
      <c r="Y83" t="s">
        <v>136</v>
      </c>
      <c r="Z83" t="s">
        <v>137</v>
      </c>
      <c r="AA83" t="s">
        <v>18</v>
      </c>
      <c r="AB83" t="s">
        <v>165</v>
      </c>
      <c r="AC83" t="s">
        <v>140</v>
      </c>
      <c r="AD83" t="s">
        <v>34</v>
      </c>
      <c r="AE83" t="s">
        <v>21</v>
      </c>
      <c r="AF83" s="5">
        <v>32.1</v>
      </c>
      <c r="AG83" s="2">
        <v>128.4</v>
      </c>
      <c r="AH83" t="s">
        <v>22</v>
      </c>
      <c r="AI83" s="4">
        <v>46350</v>
      </c>
      <c r="AJ83" s="4">
        <v>46357</v>
      </c>
      <c r="AK83" s="4">
        <v>46227</v>
      </c>
      <c r="AL83" t="s">
        <v>2</v>
      </c>
      <c r="AM83" t="s">
        <v>2</v>
      </c>
      <c r="AN83" t="s">
        <v>23</v>
      </c>
    </row>
    <row r="84" spans="1:40" x14ac:dyDescent="0.25">
      <c r="A84" t="s">
        <v>0</v>
      </c>
      <c r="B84" t="s">
        <v>2</v>
      </c>
      <c r="C84" t="s">
        <v>2</v>
      </c>
      <c r="D84" t="s">
        <v>133</v>
      </c>
      <c r="E84" t="s">
        <v>134</v>
      </c>
      <c r="F84" t="s">
        <v>2</v>
      </c>
      <c r="G84" t="s">
        <v>6</v>
      </c>
      <c r="H84" t="str">
        <f t="shared" si="1"/>
        <v>PXBHZ-H65077LZZ</v>
      </c>
      <c r="I84" t="s">
        <v>164</v>
      </c>
      <c r="J84" t="s">
        <v>91</v>
      </c>
      <c r="K84" t="s">
        <v>92</v>
      </c>
      <c r="L84" s="2">
        <v>32.1</v>
      </c>
      <c r="M84" s="3">
        <v>3</v>
      </c>
      <c r="N84" t="s">
        <v>146</v>
      </c>
      <c r="O84" s="4">
        <v>46350</v>
      </c>
      <c r="P84" t="s">
        <v>11</v>
      </c>
      <c r="Q84" t="s">
        <v>2</v>
      </c>
      <c r="R84" t="s">
        <v>12</v>
      </c>
      <c r="S84" s="4">
        <v>46227</v>
      </c>
      <c r="T84" t="s">
        <v>13</v>
      </c>
      <c r="U84" t="s">
        <v>2</v>
      </c>
      <c r="V84" t="s">
        <v>14</v>
      </c>
      <c r="W84" t="s">
        <v>15</v>
      </c>
      <c r="X84" t="s">
        <v>16</v>
      </c>
      <c r="Y84" t="s">
        <v>136</v>
      </c>
      <c r="Z84" t="s">
        <v>137</v>
      </c>
      <c r="AA84" t="s">
        <v>18</v>
      </c>
      <c r="AB84" t="s">
        <v>165</v>
      </c>
      <c r="AC84" t="s">
        <v>147</v>
      </c>
      <c r="AD84" t="s">
        <v>12</v>
      </c>
      <c r="AE84" t="s">
        <v>21</v>
      </c>
      <c r="AF84" s="5">
        <v>32.1</v>
      </c>
      <c r="AG84" s="2">
        <v>96.3</v>
      </c>
      <c r="AH84" t="s">
        <v>22</v>
      </c>
      <c r="AI84" s="4">
        <v>46350</v>
      </c>
      <c r="AJ84" s="4">
        <v>46357</v>
      </c>
      <c r="AK84" s="4">
        <v>46227</v>
      </c>
      <c r="AL84" t="s">
        <v>2</v>
      </c>
      <c r="AM84" t="s">
        <v>2</v>
      </c>
      <c r="AN84" t="s">
        <v>23</v>
      </c>
    </row>
    <row r="85" spans="1:40" x14ac:dyDescent="0.25">
      <c r="A85" t="s">
        <v>0</v>
      </c>
      <c r="B85" t="s">
        <v>2</v>
      </c>
      <c r="C85" t="s">
        <v>2</v>
      </c>
      <c r="D85" t="s">
        <v>133</v>
      </c>
      <c r="E85" t="s">
        <v>134</v>
      </c>
      <c r="F85" t="s">
        <v>2</v>
      </c>
      <c r="G85" t="s">
        <v>6</v>
      </c>
      <c r="H85" t="str">
        <f t="shared" si="1"/>
        <v>PXBHZ-H65077LZZ</v>
      </c>
      <c r="I85" t="s">
        <v>164</v>
      </c>
      <c r="J85" t="s">
        <v>91</v>
      </c>
      <c r="K85" t="s">
        <v>92</v>
      </c>
      <c r="L85" s="2">
        <v>32.1</v>
      </c>
      <c r="M85" s="3">
        <v>3</v>
      </c>
      <c r="N85" t="s">
        <v>95</v>
      </c>
      <c r="O85" s="4">
        <v>46350</v>
      </c>
      <c r="P85" t="s">
        <v>11</v>
      </c>
      <c r="Q85" t="s">
        <v>2</v>
      </c>
      <c r="R85" t="s">
        <v>12</v>
      </c>
      <c r="S85" s="4">
        <v>46227</v>
      </c>
      <c r="T85" t="s">
        <v>13</v>
      </c>
      <c r="U85" t="s">
        <v>2</v>
      </c>
      <c r="V85" t="s">
        <v>14</v>
      </c>
      <c r="W85" t="s">
        <v>15</v>
      </c>
      <c r="X85" t="s">
        <v>16</v>
      </c>
      <c r="Y85" t="s">
        <v>136</v>
      </c>
      <c r="Z85" t="s">
        <v>137</v>
      </c>
      <c r="AA85" t="s">
        <v>18</v>
      </c>
      <c r="AB85" t="s">
        <v>165</v>
      </c>
      <c r="AC85" t="s">
        <v>96</v>
      </c>
      <c r="AD85" t="s">
        <v>88</v>
      </c>
      <c r="AE85" t="s">
        <v>21</v>
      </c>
      <c r="AF85" s="5">
        <v>32.1</v>
      </c>
      <c r="AG85" s="2">
        <v>96.3</v>
      </c>
      <c r="AH85" t="s">
        <v>22</v>
      </c>
      <c r="AI85" s="4">
        <v>46350</v>
      </c>
      <c r="AJ85" s="4">
        <v>46357</v>
      </c>
      <c r="AK85" s="4">
        <v>46227</v>
      </c>
      <c r="AL85" t="s">
        <v>2</v>
      </c>
      <c r="AM85" t="s">
        <v>2</v>
      </c>
      <c r="AN85" t="s">
        <v>23</v>
      </c>
    </row>
    <row r="86" spans="1:40" x14ac:dyDescent="0.25">
      <c r="A86" t="s">
        <v>0</v>
      </c>
      <c r="B86" t="s">
        <v>2</v>
      </c>
      <c r="C86" t="s">
        <v>2</v>
      </c>
      <c r="D86" t="s">
        <v>133</v>
      </c>
      <c r="E86" t="s">
        <v>134</v>
      </c>
      <c r="F86" t="s">
        <v>2</v>
      </c>
      <c r="G86" t="s">
        <v>6</v>
      </c>
      <c r="H86" t="str">
        <f t="shared" si="1"/>
        <v>PXCBC-H65077LZZ</v>
      </c>
      <c r="I86" t="s">
        <v>164</v>
      </c>
      <c r="J86" t="s">
        <v>154</v>
      </c>
      <c r="K86" t="s">
        <v>92</v>
      </c>
      <c r="L86" s="2">
        <v>27.9</v>
      </c>
      <c r="M86" s="3">
        <v>8</v>
      </c>
      <c r="N86" t="s">
        <v>93</v>
      </c>
      <c r="O86" s="4">
        <v>46350</v>
      </c>
      <c r="P86" t="s">
        <v>11</v>
      </c>
      <c r="Q86" t="s">
        <v>2</v>
      </c>
      <c r="R86" t="s">
        <v>12</v>
      </c>
      <c r="S86" s="4">
        <v>46227</v>
      </c>
      <c r="T86" t="s">
        <v>13</v>
      </c>
      <c r="U86" t="s">
        <v>2</v>
      </c>
      <c r="V86" t="s">
        <v>14</v>
      </c>
      <c r="W86" t="s">
        <v>15</v>
      </c>
      <c r="X86" t="s">
        <v>16</v>
      </c>
      <c r="Y86" t="s">
        <v>136</v>
      </c>
      <c r="Z86" t="s">
        <v>137</v>
      </c>
      <c r="AA86" t="s">
        <v>18</v>
      </c>
      <c r="AB86" t="s">
        <v>166</v>
      </c>
      <c r="AC86" t="s">
        <v>94</v>
      </c>
      <c r="AD86" t="s">
        <v>84</v>
      </c>
      <c r="AE86" t="s">
        <v>21</v>
      </c>
      <c r="AF86" s="5">
        <v>27.9</v>
      </c>
      <c r="AG86" s="2">
        <v>223.2</v>
      </c>
      <c r="AH86" t="s">
        <v>22</v>
      </c>
      <c r="AI86" s="4">
        <v>46350</v>
      </c>
      <c r="AJ86" s="4">
        <v>46357</v>
      </c>
      <c r="AK86" s="4">
        <v>46227</v>
      </c>
      <c r="AL86" t="s">
        <v>2</v>
      </c>
      <c r="AM86" t="s">
        <v>2</v>
      </c>
      <c r="AN86" t="s">
        <v>23</v>
      </c>
    </row>
    <row r="87" spans="1:40" x14ac:dyDescent="0.25">
      <c r="A87" t="s">
        <v>0</v>
      </c>
      <c r="B87" t="s">
        <v>2</v>
      </c>
      <c r="C87" t="s">
        <v>2</v>
      </c>
      <c r="D87" t="s">
        <v>133</v>
      </c>
      <c r="E87" t="s">
        <v>134</v>
      </c>
      <c r="F87" t="s">
        <v>2</v>
      </c>
      <c r="G87" t="s">
        <v>6</v>
      </c>
      <c r="H87" t="str">
        <f t="shared" si="1"/>
        <v>PXCBC-H65077LZZ</v>
      </c>
      <c r="I87" t="s">
        <v>164</v>
      </c>
      <c r="J87" t="s">
        <v>154</v>
      </c>
      <c r="K87" t="s">
        <v>92</v>
      </c>
      <c r="L87" s="2">
        <v>27.9</v>
      </c>
      <c r="M87" s="3">
        <v>8</v>
      </c>
      <c r="N87" t="s">
        <v>144</v>
      </c>
      <c r="O87" s="4">
        <v>46350</v>
      </c>
      <c r="P87" t="s">
        <v>11</v>
      </c>
      <c r="Q87" t="s">
        <v>2</v>
      </c>
      <c r="R87" t="s">
        <v>12</v>
      </c>
      <c r="S87" s="4">
        <v>46227</v>
      </c>
      <c r="T87" t="s">
        <v>13</v>
      </c>
      <c r="U87" t="s">
        <v>2</v>
      </c>
      <c r="V87" t="s">
        <v>14</v>
      </c>
      <c r="W87" t="s">
        <v>15</v>
      </c>
      <c r="X87" t="s">
        <v>16</v>
      </c>
      <c r="Y87" t="s">
        <v>136</v>
      </c>
      <c r="Z87" t="s">
        <v>137</v>
      </c>
      <c r="AA87" t="s">
        <v>18</v>
      </c>
      <c r="AB87" t="s">
        <v>166</v>
      </c>
      <c r="AC87" t="s">
        <v>140</v>
      </c>
      <c r="AD87" t="s">
        <v>34</v>
      </c>
      <c r="AE87" t="s">
        <v>21</v>
      </c>
      <c r="AF87" s="5">
        <v>27.9</v>
      </c>
      <c r="AG87" s="2">
        <v>223.2</v>
      </c>
      <c r="AH87" t="s">
        <v>22</v>
      </c>
      <c r="AI87" s="4">
        <v>46350</v>
      </c>
      <c r="AJ87" s="4">
        <v>46357</v>
      </c>
      <c r="AK87" s="4">
        <v>46227</v>
      </c>
      <c r="AL87" t="s">
        <v>2</v>
      </c>
      <c r="AM87" t="s">
        <v>2</v>
      </c>
      <c r="AN87" t="s">
        <v>23</v>
      </c>
    </row>
    <row r="88" spans="1:40" x14ac:dyDescent="0.25">
      <c r="A88" t="s">
        <v>0</v>
      </c>
      <c r="B88" t="s">
        <v>2</v>
      </c>
      <c r="C88" t="s">
        <v>2</v>
      </c>
      <c r="D88" t="s">
        <v>133</v>
      </c>
      <c r="E88" t="s">
        <v>134</v>
      </c>
      <c r="F88" t="s">
        <v>2</v>
      </c>
      <c r="G88" t="s">
        <v>6</v>
      </c>
      <c r="H88" t="str">
        <f t="shared" si="1"/>
        <v>PXCBC-H65077LZZ</v>
      </c>
      <c r="I88" t="s">
        <v>164</v>
      </c>
      <c r="J88" t="s">
        <v>154</v>
      </c>
      <c r="K88" t="s">
        <v>92</v>
      </c>
      <c r="L88" s="2">
        <v>27.9</v>
      </c>
      <c r="M88" s="3">
        <v>8</v>
      </c>
      <c r="N88" t="s">
        <v>146</v>
      </c>
      <c r="O88" s="4">
        <v>46350</v>
      </c>
      <c r="P88" t="s">
        <v>11</v>
      </c>
      <c r="Q88" t="s">
        <v>2</v>
      </c>
      <c r="R88" t="s">
        <v>12</v>
      </c>
      <c r="S88" s="4">
        <v>46227</v>
      </c>
      <c r="T88" t="s">
        <v>13</v>
      </c>
      <c r="U88" t="s">
        <v>2</v>
      </c>
      <c r="V88" t="s">
        <v>14</v>
      </c>
      <c r="W88" t="s">
        <v>15</v>
      </c>
      <c r="X88" t="s">
        <v>16</v>
      </c>
      <c r="Y88" t="s">
        <v>136</v>
      </c>
      <c r="Z88" t="s">
        <v>137</v>
      </c>
      <c r="AA88" t="s">
        <v>18</v>
      </c>
      <c r="AB88" t="s">
        <v>166</v>
      </c>
      <c r="AC88" t="s">
        <v>147</v>
      </c>
      <c r="AD88" t="s">
        <v>12</v>
      </c>
      <c r="AE88" t="s">
        <v>21</v>
      </c>
      <c r="AF88" s="5">
        <v>27.9</v>
      </c>
      <c r="AG88" s="2">
        <v>223.2</v>
      </c>
      <c r="AH88" t="s">
        <v>22</v>
      </c>
      <c r="AI88" s="4">
        <v>46350</v>
      </c>
      <c r="AJ88" s="4">
        <v>46357</v>
      </c>
      <c r="AK88" s="4">
        <v>46227</v>
      </c>
      <c r="AL88" t="s">
        <v>2</v>
      </c>
      <c r="AM88" t="s">
        <v>2</v>
      </c>
      <c r="AN88" t="s">
        <v>23</v>
      </c>
    </row>
    <row r="89" spans="1:40" x14ac:dyDescent="0.25">
      <c r="A89" t="s">
        <v>0</v>
      </c>
      <c r="B89" t="s">
        <v>2</v>
      </c>
      <c r="C89" t="s">
        <v>2</v>
      </c>
      <c r="D89" t="s">
        <v>133</v>
      </c>
      <c r="E89" t="s">
        <v>134</v>
      </c>
      <c r="F89" t="s">
        <v>2</v>
      </c>
      <c r="G89" t="s">
        <v>6</v>
      </c>
      <c r="H89" t="str">
        <f t="shared" si="1"/>
        <v>PXCBC-H65077LZZ</v>
      </c>
      <c r="I89" t="s">
        <v>164</v>
      </c>
      <c r="J89" t="s">
        <v>154</v>
      </c>
      <c r="K89" t="s">
        <v>92</v>
      </c>
      <c r="L89" s="2">
        <v>27.9</v>
      </c>
      <c r="M89" s="3">
        <v>8</v>
      </c>
      <c r="N89" t="s">
        <v>95</v>
      </c>
      <c r="O89" s="4">
        <v>46350</v>
      </c>
      <c r="P89" t="s">
        <v>11</v>
      </c>
      <c r="Q89" t="s">
        <v>2</v>
      </c>
      <c r="R89" t="s">
        <v>12</v>
      </c>
      <c r="S89" s="4">
        <v>46227</v>
      </c>
      <c r="T89" t="s">
        <v>13</v>
      </c>
      <c r="U89" t="s">
        <v>2</v>
      </c>
      <c r="V89" t="s">
        <v>14</v>
      </c>
      <c r="W89" t="s">
        <v>15</v>
      </c>
      <c r="X89" t="s">
        <v>16</v>
      </c>
      <c r="Y89" t="s">
        <v>136</v>
      </c>
      <c r="Z89" t="s">
        <v>137</v>
      </c>
      <c r="AA89" t="s">
        <v>18</v>
      </c>
      <c r="AB89" t="s">
        <v>166</v>
      </c>
      <c r="AC89" t="s">
        <v>96</v>
      </c>
      <c r="AD89" t="s">
        <v>88</v>
      </c>
      <c r="AE89" t="s">
        <v>21</v>
      </c>
      <c r="AF89" s="5">
        <v>27.9</v>
      </c>
      <c r="AG89" s="2">
        <v>223.2</v>
      </c>
      <c r="AH89" t="s">
        <v>22</v>
      </c>
      <c r="AI89" s="4">
        <v>46350</v>
      </c>
      <c r="AJ89" s="4">
        <v>46357</v>
      </c>
      <c r="AK89" s="4">
        <v>46227</v>
      </c>
      <c r="AL89" t="s">
        <v>2</v>
      </c>
      <c r="AM89" t="s">
        <v>2</v>
      </c>
      <c r="AN89" t="s">
        <v>23</v>
      </c>
    </row>
    <row r="90" spans="1:40" x14ac:dyDescent="0.25">
      <c r="A90" t="s">
        <v>0</v>
      </c>
      <c r="B90" t="s">
        <v>2</v>
      </c>
      <c r="C90" t="s">
        <v>2</v>
      </c>
      <c r="D90" t="s">
        <v>133</v>
      </c>
      <c r="E90" t="s">
        <v>134</v>
      </c>
      <c r="F90" t="s">
        <v>2</v>
      </c>
      <c r="G90" t="s">
        <v>6</v>
      </c>
      <c r="H90" t="str">
        <f t="shared" si="1"/>
        <v>PXCEV-F63037GAA</v>
      </c>
      <c r="I90" t="s">
        <v>164</v>
      </c>
      <c r="J90" t="s">
        <v>113</v>
      </c>
      <c r="K90" t="s">
        <v>102</v>
      </c>
      <c r="L90" s="2">
        <v>1</v>
      </c>
      <c r="M90" s="3">
        <v>1</v>
      </c>
      <c r="N90" t="s">
        <v>37</v>
      </c>
      <c r="O90" s="4">
        <v>46350</v>
      </c>
      <c r="P90" t="s">
        <v>11</v>
      </c>
      <c r="Q90" t="s">
        <v>2</v>
      </c>
      <c r="R90" t="s">
        <v>12</v>
      </c>
      <c r="S90" s="4">
        <v>46227</v>
      </c>
      <c r="T90" t="s">
        <v>13</v>
      </c>
      <c r="U90" t="s">
        <v>2</v>
      </c>
      <c r="V90" t="s">
        <v>14</v>
      </c>
      <c r="W90" t="s">
        <v>15</v>
      </c>
      <c r="X90" t="s">
        <v>16</v>
      </c>
      <c r="Y90" t="s">
        <v>136</v>
      </c>
      <c r="Z90" t="s">
        <v>137</v>
      </c>
      <c r="AA90" t="s">
        <v>18</v>
      </c>
      <c r="AB90" t="s">
        <v>167</v>
      </c>
      <c r="AC90" t="s">
        <v>20</v>
      </c>
      <c r="AD90" t="s">
        <v>12</v>
      </c>
      <c r="AE90" t="s">
        <v>21</v>
      </c>
      <c r="AF90" s="5">
        <v>1</v>
      </c>
      <c r="AG90" s="2">
        <v>1</v>
      </c>
      <c r="AH90" t="s">
        <v>22</v>
      </c>
      <c r="AI90" s="4">
        <v>46350</v>
      </c>
      <c r="AJ90" s="4">
        <v>46357</v>
      </c>
      <c r="AK90" s="4">
        <v>46227</v>
      </c>
      <c r="AL90" t="s">
        <v>2</v>
      </c>
      <c r="AM90" t="s">
        <v>2</v>
      </c>
      <c r="AN90" t="s">
        <v>23</v>
      </c>
    </row>
    <row r="91" spans="1:40" x14ac:dyDescent="0.25">
      <c r="A91" t="s">
        <v>0</v>
      </c>
      <c r="B91" t="s">
        <v>2</v>
      </c>
      <c r="C91" t="s">
        <v>2</v>
      </c>
      <c r="D91" t="s">
        <v>133</v>
      </c>
      <c r="E91" t="s">
        <v>134</v>
      </c>
      <c r="F91" t="s">
        <v>2</v>
      </c>
      <c r="G91" t="s">
        <v>6</v>
      </c>
      <c r="H91" t="str">
        <f t="shared" si="1"/>
        <v>PXCBC-H63044LZZ</v>
      </c>
      <c r="I91" t="s">
        <v>164</v>
      </c>
      <c r="J91" t="s">
        <v>124</v>
      </c>
      <c r="K91" t="s">
        <v>102</v>
      </c>
      <c r="L91" s="2">
        <v>38.75</v>
      </c>
      <c r="M91" s="3">
        <v>5</v>
      </c>
      <c r="N91" t="s">
        <v>27</v>
      </c>
      <c r="O91" s="4">
        <v>46350</v>
      </c>
      <c r="P91" t="s">
        <v>11</v>
      </c>
      <c r="Q91" t="s">
        <v>2</v>
      </c>
      <c r="R91" t="s">
        <v>12</v>
      </c>
      <c r="S91" s="4">
        <v>46227</v>
      </c>
      <c r="T91" t="s">
        <v>13</v>
      </c>
      <c r="U91" t="s">
        <v>2</v>
      </c>
      <c r="V91" t="s">
        <v>14</v>
      </c>
      <c r="W91" t="s">
        <v>15</v>
      </c>
      <c r="X91" t="s">
        <v>16</v>
      </c>
      <c r="Y91" t="s">
        <v>136</v>
      </c>
      <c r="Z91" t="s">
        <v>137</v>
      </c>
      <c r="AA91" t="s">
        <v>18</v>
      </c>
      <c r="AB91" t="s">
        <v>168</v>
      </c>
      <c r="AC91" t="s">
        <v>20</v>
      </c>
      <c r="AD91" t="s">
        <v>12</v>
      </c>
      <c r="AE91" t="s">
        <v>21</v>
      </c>
      <c r="AF91" s="5">
        <v>38.75</v>
      </c>
      <c r="AG91" s="2">
        <v>193.75</v>
      </c>
      <c r="AH91" t="s">
        <v>22</v>
      </c>
      <c r="AI91" s="4">
        <v>46350</v>
      </c>
      <c r="AJ91" s="4">
        <v>46357</v>
      </c>
      <c r="AK91" s="4">
        <v>46227</v>
      </c>
      <c r="AL91" t="s">
        <v>2</v>
      </c>
      <c r="AM91" t="s">
        <v>2</v>
      </c>
      <c r="AN91" t="s">
        <v>23</v>
      </c>
    </row>
    <row r="92" spans="1:40" x14ac:dyDescent="0.25">
      <c r="A92" t="s">
        <v>0</v>
      </c>
      <c r="B92" t="s">
        <v>2</v>
      </c>
      <c r="C92" t="s">
        <v>2</v>
      </c>
      <c r="D92" t="s">
        <v>133</v>
      </c>
      <c r="E92" t="s">
        <v>134</v>
      </c>
      <c r="F92" t="s">
        <v>2</v>
      </c>
      <c r="G92" t="s">
        <v>6</v>
      </c>
      <c r="H92" t="str">
        <f t="shared" si="1"/>
        <v>PXCBC-M65222CAV</v>
      </c>
      <c r="I92" t="s">
        <v>164</v>
      </c>
      <c r="J92" t="s">
        <v>105</v>
      </c>
      <c r="K92" t="s">
        <v>106</v>
      </c>
      <c r="L92" s="2">
        <v>21.35</v>
      </c>
      <c r="M92" s="3">
        <v>6</v>
      </c>
      <c r="N92" t="s">
        <v>169</v>
      </c>
      <c r="O92" s="4">
        <v>46350</v>
      </c>
      <c r="P92" t="s">
        <v>11</v>
      </c>
      <c r="Q92" t="s">
        <v>2</v>
      </c>
      <c r="R92" t="s">
        <v>12</v>
      </c>
      <c r="S92" s="4">
        <v>46227</v>
      </c>
      <c r="T92" t="s">
        <v>13</v>
      </c>
      <c r="U92" t="s">
        <v>2</v>
      </c>
      <c r="V92" t="s">
        <v>14</v>
      </c>
      <c r="W92" t="s">
        <v>15</v>
      </c>
      <c r="X92" t="s">
        <v>16</v>
      </c>
      <c r="Y92" t="s">
        <v>136</v>
      </c>
      <c r="Z92" t="s">
        <v>137</v>
      </c>
      <c r="AA92" t="s">
        <v>18</v>
      </c>
      <c r="AB92" t="s">
        <v>170</v>
      </c>
      <c r="AC92" t="s">
        <v>171</v>
      </c>
      <c r="AD92" t="s">
        <v>12</v>
      </c>
      <c r="AE92" t="s">
        <v>21</v>
      </c>
      <c r="AF92" s="5">
        <v>21.35</v>
      </c>
      <c r="AG92" s="2">
        <v>128.1</v>
      </c>
      <c r="AH92" t="s">
        <v>22</v>
      </c>
      <c r="AI92" s="4">
        <v>46350</v>
      </c>
      <c r="AJ92" s="4">
        <v>46357</v>
      </c>
      <c r="AK92" s="4">
        <v>46227</v>
      </c>
      <c r="AL92" t="s">
        <v>2</v>
      </c>
      <c r="AM92" t="s">
        <v>2</v>
      </c>
      <c r="AN92" t="s">
        <v>23</v>
      </c>
    </row>
    <row r="93" spans="1:40" x14ac:dyDescent="0.25">
      <c r="A93" t="s">
        <v>0</v>
      </c>
      <c r="B93" t="s">
        <v>2</v>
      </c>
      <c r="C93" t="s">
        <v>2</v>
      </c>
      <c r="D93" t="s">
        <v>133</v>
      </c>
      <c r="E93" t="s">
        <v>134</v>
      </c>
      <c r="F93" t="s">
        <v>2</v>
      </c>
      <c r="G93" t="s">
        <v>6</v>
      </c>
      <c r="H93" t="str">
        <f t="shared" si="1"/>
        <v>PXCBC-M65222CAV</v>
      </c>
      <c r="I93" t="s">
        <v>164</v>
      </c>
      <c r="J93" t="s">
        <v>105</v>
      </c>
      <c r="K93" t="s">
        <v>106</v>
      </c>
      <c r="L93" s="2">
        <v>21.35</v>
      </c>
      <c r="M93" s="3">
        <v>7</v>
      </c>
      <c r="N93" t="s">
        <v>172</v>
      </c>
      <c r="O93" s="4">
        <v>46350</v>
      </c>
      <c r="P93" t="s">
        <v>11</v>
      </c>
      <c r="Q93" t="s">
        <v>2</v>
      </c>
      <c r="R93" t="s">
        <v>12</v>
      </c>
      <c r="S93" s="4">
        <v>46227</v>
      </c>
      <c r="T93" t="s">
        <v>13</v>
      </c>
      <c r="U93" t="s">
        <v>2</v>
      </c>
      <c r="V93" t="s">
        <v>14</v>
      </c>
      <c r="W93" t="s">
        <v>15</v>
      </c>
      <c r="X93" t="s">
        <v>16</v>
      </c>
      <c r="Y93" t="s">
        <v>136</v>
      </c>
      <c r="Z93" t="s">
        <v>137</v>
      </c>
      <c r="AA93" t="s">
        <v>18</v>
      </c>
      <c r="AB93" t="s">
        <v>170</v>
      </c>
      <c r="AC93" t="s">
        <v>108</v>
      </c>
      <c r="AD93" t="s">
        <v>34</v>
      </c>
      <c r="AE93" t="s">
        <v>21</v>
      </c>
      <c r="AF93" s="5">
        <v>21.35</v>
      </c>
      <c r="AG93" s="2">
        <v>149.44999999999999</v>
      </c>
      <c r="AH93" t="s">
        <v>22</v>
      </c>
      <c r="AI93" s="4">
        <v>46350</v>
      </c>
      <c r="AJ93" s="4">
        <v>46357</v>
      </c>
      <c r="AK93" s="4">
        <v>46227</v>
      </c>
      <c r="AL93" t="s">
        <v>2</v>
      </c>
      <c r="AM93" t="s">
        <v>2</v>
      </c>
      <c r="AN93" t="s">
        <v>23</v>
      </c>
    </row>
    <row r="94" spans="1:40" x14ac:dyDescent="0.25">
      <c r="A94" t="s">
        <v>0</v>
      </c>
      <c r="B94" t="s">
        <v>2</v>
      </c>
      <c r="C94" t="s">
        <v>2</v>
      </c>
      <c r="D94" t="s">
        <v>133</v>
      </c>
      <c r="E94" t="s">
        <v>134</v>
      </c>
      <c r="F94" t="s">
        <v>2</v>
      </c>
      <c r="G94" t="s">
        <v>6</v>
      </c>
      <c r="H94" t="str">
        <f t="shared" si="1"/>
        <v>PXCBC-M65222CAV</v>
      </c>
      <c r="I94" t="s">
        <v>164</v>
      </c>
      <c r="J94" t="s">
        <v>105</v>
      </c>
      <c r="K94" t="s">
        <v>106</v>
      </c>
      <c r="L94" s="2">
        <v>21.35</v>
      </c>
      <c r="M94" s="3">
        <v>6</v>
      </c>
      <c r="N94" t="s">
        <v>173</v>
      </c>
      <c r="O94" s="4">
        <v>46350</v>
      </c>
      <c r="P94" t="s">
        <v>11</v>
      </c>
      <c r="Q94" t="s">
        <v>2</v>
      </c>
      <c r="R94" t="s">
        <v>12</v>
      </c>
      <c r="S94" s="4">
        <v>46227</v>
      </c>
      <c r="T94" t="s">
        <v>13</v>
      </c>
      <c r="U94" t="s">
        <v>2</v>
      </c>
      <c r="V94" t="s">
        <v>14</v>
      </c>
      <c r="W94" t="s">
        <v>15</v>
      </c>
      <c r="X94" t="s">
        <v>16</v>
      </c>
      <c r="Y94" t="s">
        <v>136</v>
      </c>
      <c r="Z94" t="s">
        <v>137</v>
      </c>
      <c r="AA94" t="s">
        <v>18</v>
      </c>
      <c r="AB94" t="s">
        <v>170</v>
      </c>
      <c r="AC94" t="s">
        <v>157</v>
      </c>
      <c r="AD94" t="s">
        <v>84</v>
      </c>
      <c r="AE94" t="s">
        <v>21</v>
      </c>
      <c r="AF94" s="5">
        <v>21.35</v>
      </c>
      <c r="AG94" s="2">
        <v>128.1</v>
      </c>
      <c r="AH94" t="s">
        <v>22</v>
      </c>
      <c r="AI94" s="4">
        <v>46350</v>
      </c>
      <c r="AJ94" s="4">
        <v>46357</v>
      </c>
      <c r="AK94" s="4">
        <v>46227</v>
      </c>
      <c r="AL94" t="s">
        <v>2</v>
      </c>
      <c r="AM94" t="s">
        <v>2</v>
      </c>
      <c r="AN94" t="s">
        <v>23</v>
      </c>
    </row>
    <row r="95" spans="1:40" x14ac:dyDescent="0.25">
      <c r="A95" t="s">
        <v>0</v>
      </c>
      <c r="B95" t="s">
        <v>1</v>
      </c>
      <c r="C95" t="s">
        <v>2</v>
      </c>
      <c r="D95" t="s">
        <v>133</v>
      </c>
      <c r="E95" t="s">
        <v>134</v>
      </c>
      <c r="F95" t="s">
        <v>2</v>
      </c>
      <c r="G95" t="s">
        <v>6</v>
      </c>
      <c r="H95" t="str">
        <f t="shared" si="1"/>
        <v>PXCFV-F63023TLD</v>
      </c>
      <c r="I95" t="s">
        <v>174</v>
      </c>
      <c r="J95" t="s">
        <v>58</v>
      </c>
      <c r="K95" t="s">
        <v>59</v>
      </c>
      <c r="L95" s="2">
        <v>1</v>
      </c>
      <c r="M95" s="3">
        <v>24</v>
      </c>
      <c r="N95" t="s">
        <v>60</v>
      </c>
      <c r="O95" s="4">
        <v>46356</v>
      </c>
      <c r="P95" t="s">
        <v>11</v>
      </c>
      <c r="Q95" t="s">
        <v>2</v>
      </c>
      <c r="R95" t="s">
        <v>12</v>
      </c>
      <c r="S95" s="4">
        <v>46227</v>
      </c>
      <c r="T95" t="s">
        <v>13</v>
      </c>
      <c r="U95" t="s">
        <v>2</v>
      </c>
      <c r="V95" t="s">
        <v>14</v>
      </c>
      <c r="W95" t="s">
        <v>15</v>
      </c>
      <c r="X95" t="s">
        <v>16</v>
      </c>
      <c r="Y95" t="s">
        <v>136</v>
      </c>
      <c r="Z95" t="s">
        <v>137</v>
      </c>
      <c r="AA95" t="s">
        <v>18</v>
      </c>
      <c r="AB95" t="s">
        <v>19</v>
      </c>
      <c r="AC95" t="s">
        <v>20</v>
      </c>
      <c r="AD95" t="s">
        <v>12</v>
      </c>
      <c r="AE95" t="s">
        <v>21</v>
      </c>
      <c r="AF95" s="5">
        <v>1</v>
      </c>
      <c r="AG95" s="2">
        <v>24</v>
      </c>
      <c r="AH95" t="s">
        <v>22</v>
      </c>
      <c r="AI95" s="4">
        <v>46356</v>
      </c>
      <c r="AJ95" s="4">
        <v>46363</v>
      </c>
      <c r="AK95" s="4">
        <v>46227</v>
      </c>
      <c r="AL95" t="s">
        <v>2</v>
      </c>
      <c r="AM95" t="s">
        <v>2</v>
      </c>
      <c r="AN95" t="s">
        <v>23</v>
      </c>
    </row>
    <row r="96" spans="1:40" x14ac:dyDescent="0.25">
      <c r="A96" t="s">
        <v>0</v>
      </c>
      <c r="B96" t="s">
        <v>1</v>
      </c>
      <c r="C96" t="s">
        <v>2</v>
      </c>
      <c r="D96" t="s">
        <v>133</v>
      </c>
      <c r="E96" t="s">
        <v>134</v>
      </c>
      <c r="F96" t="s">
        <v>2</v>
      </c>
      <c r="G96" t="s">
        <v>6</v>
      </c>
      <c r="H96" t="str">
        <f t="shared" si="1"/>
        <v>PXCBC-F67008DAB</v>
      </c>
      <c r="I96" t="s">
        <v>175</v>
      </c>
      <c r="J96" t="s">
        <v>42</v>
      </c>
      <c r="K96" t="s">
        <v>43</v>
      </c>
      <c r="L96" s="2">
        <v>67.8</v>
      </c>
      <c r="M96" s="3">
        <v>66</v>
      </c>
      <c r="N96" t="s">
        <v>45</v>
      </c>
      <c r="O96" s="4">
        <v>46356</v>
      </c>
      <c r="P96" t="s">
        <v>11</v>
      </c>
      <c r="Q96" t="s">
        <v>2</v>
      </c>
      <c r="R96" t="s">
        <v>12</v>
      </c>
      <c r="S96" s="4">
        <v>46227</v>
      </c>
      <c r="T96" t="s">
        <v>13</v>
      </c>
      <c r="U96" t="s">
        <v>2</v>
      </c>
      <c r="V96" t="s">
        <v>14</v>
      </c>
      <c r="W96" t="s">
        <v>15</v>
      </c>
      <c r="X96" t="s">
        <v>16</v>
      </c>
      <c r="Y96" t="s">
        <v>136</v>
      </c>
      <c r="Z96" t="s">
        <v>137</v>
      </c>
      <c r="AA96" t="s">
        <v>18</v>
      </c>
      <c r="AB96" t="s">
        <v>19</v>
      </c>
      <c r="AC96" t="s">
        <v>20</v>
      </c>
      <c r="AD96" t="s">
        <v>12</v>
      </c>
      <c r="AE96" t="s">
        <v>21</v>
      </c>
      <c r="AF96" s="5">
        <v>67.8</v>
      </c>
      <c r="AG96" s="2">
        <v>4474.8</v>
      </c>
      <c r="AH96" t="s">
        <v>22</v>
      </c>
      <c r="AI96" s="4">
        <v>46356</v>
      </c>
      <c r="AJ96" s="4">
        <v>46363</v>
      </c>
      <c r="AK96" s="4">
        <v>46227</v>
      </c>
      <c r="AL96" t="s">
        <v>2</v>
      </c>
      <c r="AM96" t="s">
        <v>2</v>
      </c>
      <c r="AN96" t="s">
        <v>23</v>
      </c>
    </row>
    <row r="97" spans="1:40" x14ac:dyDescent="0.25">
      <c r="A97" t="s">
        <v>0</v>
      </c>
      <c r="B97" t="s">
        <v>1</v>
      </c>
      <c r="C97" t="s">
        <v>2</v>
      </c>
      <c r="D97" t="s">
        <v>133</v>
      </c>
      <c r="E97" t="s">
        <v>134</v>
      </c>
      <c r="F97" t="s">
        <v>2</v>
      </c>
      <c r="G97" t="s">
        <v>6</v>
      </c>
      <c r="H97" t="str">
        <f t="shared" si="1"/>
        <v>PXCBC-F67043DAB</v>
      </c>
      <c r="I97" t="s">
        <v>176</v>
      </c>
      <c r="J97" t="s">
        <v>25</v>
      </c>
      <c r="K97" t="s">
        <v>26</v>
      </c>
      <c r="L97" s="2">
        <v>66.5</v>
      </c>
      <c r="M97" s="3">
        <v>1</v>
      </c>
      <c r="N97" t="s">
        <v>45</v>
      </c>
      <c r="O97" s="4">
        <v>46356</v>
      </c>
      <c r="P97" t="s">
        <v>11</v>
      </c>
      <c r="Q97" t="s">
        <v>2</v>
      </c>
      <c r="R97" t="s">
        <v>12</v>
      </c>
      <c r="S97" s="4">
        <v>46227</v>
      </c>
      <c r="T97" t="s">
        <v>13</v>
      </c>
      <c r="U97" t="s">
        <v>2</v>
      </c>
      <c r="V97" t="s">
        <v>14</v>
      </c>
      <c r="W97" t="s">
        <v>15</v>
      </c>
      <c r="X97" t="s">
        <v>16</v>
      </c>
      <c r="Y97" t="s">
        <v>136</v>
      </c>
      <c r="Z97" t="s">
        <v>137</v>
      </c>
      <c r="AA97" t="s">
        <v>18</v>
      </c>
      <c r="AB97" t="s">
        <v>19</v>
      </c>
      <c r="AC97" t="s">
        <v>20</v>
      </c>
      <c r="AD97" t="s">
        <v>12</v>
      </c>
      <c r="AE97" t="s">
        <v>21</v>
      </c>
      <c r="AF97" s="5">
        <v>66.5</v>
      </c>
      <c r="AG97" s="2">
        <v>66.5</v>
      </c>
      <c r="AH97" t="s">
        <v>22</v>
      </c>
      <c r="AI97" s="4">
        <v>46356</v>
      </c>
      <c r="AJ97" s="4">
        <v>46363</v>
      </c>
      <c r="AK97" s="4">
        <v>46227</v>
      </c>
      <c r="AL97" t="s">
        <v>2</v>
      </c>
      <c r="AM97" t="s">
        <v>2</v>
      </c>
      <c r="AN97" t="s">
        <v>23</v>
      </c>
    </row>
    <row r="98" spans="1:40" x14ac:dyDescent="0.25">
      <c r="A98" t="s">
        <v>0</v>
      </c>
      <c r="B98" t="s">
        <v>1</v>
      </c>
      <c r="C98" t="s">
        <v>2</v>
      </c>
      <c r="D98" t="s">
        <v>133</v>
      </c>
      <c r="E98" t="s">
        <v>134</v>
      </c>
      <c r="F98" t="s">
        <v>2</v>
      </c>
      <c r="G98" t="s">
        <v>6</v>
      </c>
      <c r="H98" t="str">
        <f t="shared" si="1"/>
        <v>PXCBC-F67081DAB</v>
      </c>
      <c r="I98" t="s">
        <v>177</v>
      </c>
      <c r="J98" t="s">
        <v>63</v>
      </c>
      <c r="K98" t="s">
        <v>33</v>
      </c>
      <c r="L98" s="2">
        <v>38.5</v>
      </c>
      <c r="M98" s="3">
        <v>3</v>
      </c>
      <c r="N98" t="s">
        <v>45</v>
      </c>
      <c r="O98" s="4">
        <v>46356</v>
      </c>
      <c r="P98" t="s">
        <v>11</v>
      </c>
      <c r="Q98" t="s">
        <v>2</v>
      </c>
      <c r="R98" t="s">
        <v>12</v>
      </c>
      <c r="S98" s="4">
        <v>46227</v>
      </c>
      <c r="T98" t="s">
        <v>13</v>
      </c>
      <c r="U98" t="s">
        <v>2</v>
      </c>
      <c r="V98" t="s">
        <v>14</v>
      </c>
      <c r="W98" t="s">
        <v>15</v>
      </c>
      <c r="X98" t="s">
        <v>16</v>
      </c>
      <c r="Y98" t="s">
        <v>136</v>
      </c>
      <c r="Z98" t="s">
        <v>137</v>
      </c>
      <c r="AA98" t="s">
        <v>18</v>
      </c>
      <c r="AB98" t="s">
        <v>19</v>
      </c>
      <c r="AC98" t="s">
        <v>20</v>
      </c>
      <c r="AD98" t="s">
        <v>12</v>
      </c>
      <c r="AE98" t="s">
        <v>21</v>
      </c>
      <c r="AF98" s="5">
        <v>38.5</v>
      </c>
      <c r="AG98" s="2">
        <v>115.5</v>
      </c>
      <c r="AH98" t="s">
        <v>22</v>
      </c>
      <c r="AI98" s="4">
        <v>46356</v>
      </c>
      <c r="AJ98" s="4">
        <v>46363</v>
      </c>
      <c r="AK98" s="4">
        <v>46227</v>
      </c>
      <c r="AL98" t="s">
        <v>2</v>
      </c>
      <c r="AM98" t="s">
        <v>2</v>
      </c>
      <c r="AN98" t="s">
        <v>23</v>
      </c>
    </row>
    <row r="99" spans="1:40" x14ac:dyDescent="0.25">
      <c r="A99" t="s">
        <v>0</v>
      </c>
      <c r="B99" t="s">
        <v>1</v>
      </c>
      <c r="C99" t="s">
        <v>2</v>
      </c>
      <c r="D99" t="s">
        <v>133</v>
      </c>
      <c r="E99" t="s">
        <v>134</v>
      </c>
      <c r="F99" t="s">
        <v>2</v>
      </c>
      <c r="G99" t="s">
        <v>6</v>
      </c>
      <c r="H99" t="str">
        <f t="shared" si="1"/>
        <v>PXCBC-F67081DAB</v>
      </c>
      <c r="I99" t="s">
        <v>178</v>
      </c>
      <c r="J99" t="s">
        <v>63</v>
      </c>
      <c r="K99" t="s">
        <v>33</v>
      </c>
      <c r="L99" s="2">
        <v>38.5</v>
      </c>
      <c r="M99" s="3">
        <v>66</v>
      </c>
      <c r="N99" t="s">
        <v>45</v>
      </c>
      <c r="O99" s="4">
        <v>46356</v>
      </c>
      <c r="P99" t="s">
        <v>11</v>
      </c>
      <c r="Q99" t="s">
        <v>2</v>
      </c>
      <c r="R99" t="s">
        <v>12</v>
      </c>
      <c r="S99" s="4">
        <v>46227</v>
      </c>
      <c r="T99" t="s">
        <v>13</v>
      </c>
      <c r="U99" t="s">
        <v>2</v>
      </c>
      <c r="V99" t="s">
        <v>14</v>
      </c>
      <c r="W99" t="s">
        <v>15</v>
      </c>
      <c r="X99" t="s">
        <v>16</v>
      </c>
      <c r="Y99" t="s">
        <v>136</v>
      </c>
      <c r="Z99" t="s">
        <v>137</v>
      </c>
      <c r="AA99" t="s">
        <v>18</v>
      </c>
      <c r="AB99" t="s">
        <v>19</v>
      </c>
      <c r="AC99" t="s">
        <v>20</v>
      </c>
      <c r="AD99" t="s">
        <v>12</v>
      </c>
      <c r="AE99" t="s">
        <v>21</v>
      </c>
      <c r="AF99" s="5">
        <v>38.5</v>
      </c>
      <c r="AG99" s="2">
        <v>2541</v>
      </c>
      <c r="AH99" t="s">
        <v>22</v>
      </c>
      <c r="AI99" s="4">
        <v>46356</v>
      </c>
      <c r="AJ99" s="4">
        <v>46363</v>
      </c>
      <c r="AK99" s="4">
        <v>46227</v>
      </c>
      <c r="AL99" t="s">
        <v>2</v>
      </c>
      <c r="AM99" t="s">
        <v>2</v>
      </c>
      <c r="AN99" t="s">
        <v>23</v>
      </c>
    </row>
    <row r="100" spans="1:40" x14ac:dyDescent="0.25">
      <c r="A100" t="s">
        <v>0</v>
      </c>
      <c r="B100" t="s">
        <v>1</v>
      </c>
      <c r="C100" t="s">
        <v>2</v>
      </c>
      <c r="D100" t="s">
        <v>133</v>
      </c>
      <c r="E100" t="s">
        <v>134</v>
      </c>
      <c r="F100" t="s">
        <v>2</v>
      </c>
      <c r="G100" t="s">
        <v>6</v>
      </c>
      <c r="H100" t="str">
        <f t="shared" si="1"/>
        <v>PXCBC-M65222CAV</v>
      </c>
      <c r="I100" t="s">
        <v>179</v>
      </c>
      <c r="J100" t="s">
        <v>105</v>
      </c>
      <c r="K100" t="s">
        <v>106</v>
      </c>
      <c r="L100" s="2">
        <v>21.35</v>
      </c>
      <c r="M100" s="3">
        <v>3</v>
      </c>
      <c r="N100" t="s">
        <v>172</v>
      </c>
      <c r="O100" s="4">
        <v>46356</v>
      </c>
      <c r="P100" t="s">
        <v>11</v>
      </c>
      <c r="Q100" t="s">
        <v>2</v>
      </c>
      <c r="R100" t="s">
        <v>12</v>
      </c>
      <c r="S100" s="4">
        <v>46227</v>
      </c>
      <c r="T100" t="s">
        <v>13</v>
      </c>
      <c r="U100" t="s">
        <v>2</v>
      </c>
      <c r="V100" t="s">
        <v>14</v>
      </c>
      <c r="W100" t="s">
        <v>15</v>
      </c>
      <c r="X100" t="s">
        <v>16</v>
      </c>
      <c r="Y100" t="s">
        <v>136</v>
      </c>
      <c r="Z100" t="s">
        <v>137</v>
      </c>
      <c r="AA100" t="s">
        <v>18</v>
      </c>
      <c r="AB100" t="s">
        <v>19</v>
      </c>
      <c r="AC100" t="s">
        <v>108</v>
      </c>
      <c r="AD100" t="s">
        <v>12</v>
      </c>
      <c r="AE100" t="s">
        <v>21</v>
      </c>
      <c r="AF100" s="5">
        <v>21.35</v>
      </c>
      <c r="AG100" s="2">
        <v>64.05</v>
      </c>
      <c r="AH100" t="s">
        <v>22</v>
      </c>
      <c r="AI100" s="4">
        <v>46356</v>
      </c>
      <c r="AJ100" s="4">
        <v>46363</v>
      </c>
      <c r="AK100" s="4">
        <v>46227</v>
      </c>
      <c r="AL100" t="s">
        <v>2</v>
      </c>
      <c r="AM100" t="s">
        <v>2</v>
      </c>
      <c r="AN100" t="s">
        <v>23</v>
      </c>
    </row>
    <row r="101" spans="1:40" x14ac:dyDescent="0.25">
      <c r="A101" t="s">
        <v>0</v>
      </c>
      <c r="B101" t="s">
        <v>1</v>
      </c>
      <c r="C101" t="s">
        <v>2</v>
      </c>
      <c r="D101" t="s">
        <v>133</v>
      </c>
      <c r="E101" t="s">
        <v>134</v>
      </c>
      <c r="F101" t="s">
        <v>2</v>
      </c>
      <c r="G101" t="s">
        <v>6</v>
      </c>
      <c r="H101" t="str">
        <f t="shared" si="1"/>
        <v>PXCEV-F63034GAA</v>
      </c>
      <c r="I101" t="s">
        <v>180</v>
      </c>
      <c r="J101" t="s">
        <v>36</v>
      </c>
      <c r="K101" t="s">
        <v>9</v>
      </c>
      <c r="L101" s="2">
        <v>30</v>
      </c>
      <c r="M101" s="3">
        <v>66</v>
      </c>
      <c r="N101" t="s">
        <v>37</v>
      </c>
      <c r="O101" s="4">
        <v>46356</v>
      </c>
      <c r="P101" t="s">
        <v>11</v>
      </c>
      <c r="Q101" t="s">
        <v>2</v>
      </c>
      <c r="R101" t="s">
        <v>12</v>
      </c>
      <c r="S101" s="4">
        <v>46227</v>
      </c>
      <c r="T101" t="s">
        <v>13</v>
      </c>
      <c r="U101" t="s">
        <v>2</v>
      </c>
      <c r="V101" t="s">
        <v>14</v>
      </c>
      <c r="W101" t="s">
        <v>15</v>
      </c>
      <c r="X101" t="s">
        <v>16</v>
      </c>
      <c r="Y101" t="s">
        <v>136</v>
      </c>
      <c r="Z101" t="s">
        <v>137</v>
      </c>
      <c r="AA101" t="s">
        <v>18</v>
      </c>
      <c r="AB101" t="s">
        <v>19</v>
      </c>
      <c r="AC101" t="s">
        <v>20</v>
      </c>
      <c r="AD101" t="s">
        <v>12</v>
      </c>
      <c r="AE101" t="s">
        <v>21</v>
      </c>
      <c r="AF101" s="5">
        <v>30</v>
      </c>
      <c r="AG101" s="2">
        <v>1980</v>
      </c>
      <c r="AH101" t="s">
        <v>22</v>
      </c>
      <c r="AI101" s="4">
        <v>46356</v>
      </c>
      <c r="AJ101" s="4">
        <v>46363</v>
      </c>
      <c r="AK101" s="4">
        <v>46227</v>
      </c>
      <c r="AL101" t="s">
        <v>2</v>
      </c>
      <c r="AM101" t="s">
        <v>2</v>
      </c>
      <c r="AN101" t="s">
        <v>23</v>
      </c>
    </row>
    <row r="102" spans="1:40" x14ac:dyDescent="0.25">
      <c r="A102" t="s">
        <v>0</v>
      </c>
      <c r="B102" t="s">
        <v>1</v>
      </c>
      <c r="C102" t="s">
        <v>2</v>
      </c>
      <c r="D102" t="s">
        <v>133</v>
      </c>
      <c r="E102" t="s">
        <v>134</v>
      </c>
      <c r="F102" t="s">
        <v>2</v>
      </c>
      <c r="G102" t="s">
        <v>6</v>
      </c>
      <c r="H102" t="str">
        <f t="shared" si="1"/>
        <v>PXCEV-F67008GAA</v>
      </c>
      <c r="I102" t="s">
        <v>181</v>
      </c>
      <c r="J102" t="s">
        <v>66</v>
      </c>
      <c r="K102" t="s">
        <v>43</v>
      </c>
      <c r="L102" s="2">
        <v>81.5</v>
      </c>
      <c r="M102" s="3">
        <v>73</v>
      </c>
      <c r="N102" t="s">
        <v>37</v>
      </c>
      <c r="O102" s="4">
        <v>46356</v>
      </c>
      <c r="P102" t="s">
        <v>11</v>
      </c>
      <c r="Q102" t="s">
        <v>2</v>
      </c>
      <c r="R102" t="s">
        <v>12</v>
      </c>
      <c r="S102" s="4">
        <v>46227</v>
      </c>
      <c r="T102" t="s">
        <v>13</v>
      </c>
      <c r="U102" t="s">
        <v>2</v>
      </c>
      <c r="V102" t="s">
        <v>14</v>
      </c>
      <c r="W102" t="s">
        <v>15</v>
      </c>
      <c r="X102" t="s">
        <v>16</v>
      </c>
      <c r="Y102" t="s">
        <v>136</v>
      </c>
      <c r="Z102" t="s">
        <v>137</v>
      </c>
      <c r="AA102" t="s">
        <v>18</v>
      </c>
      <c r="AB102" t="s">
        <v>19</v>
      </c>
      <c r="AC102" t="s">
        <v>20</v>
      </c>
      <c r="AD102" t="s">
        <v>12</v>
      </c>
      <c r="AE102" t="s">
        <v>21</v>
      </c>
      <c r="AF102" s="5">
        <v>81.5</v>
      </c>
      <c r="AG102" s="2">
        <v>5949.5</v>
      </c>
      <c r="AH102" t="s">
        <v>22</v>
      </c>
      <c r="AI102" s="4">
        <v>46356</v>
      </c>
      <c r="AJ102" s="4">
        <v>46363</v>
      </c>
      <c r="AK102" s="4">
        <v>46227</v>
      </c>
      <c r="AL102" t="s">
        <v>2</v>
      </c>
      <c r="AM102" t="s">
        <v>2</v>
      </c>
      <c r="AN102" t="s">
        <v>23</v>
      </c>
    </row>
    <row r="103" spans="1:40" x14ac:dyDescent="0.25">
      <c r="A103" t="s">
        <v>0</v>
      </c>
      <c r="B103" t="s">
        <v>1</v>
      </c>
      <c r="C103" t="s">
        <v>2</v>
      </c>
      <c r="D103" t="s">
        <v>133</v>
      </c>
      <c r="E103" t="s">
        <v>134</v>
      </c>
      <c r="F103" t="s">
        <v>2</v>
      </c>
      <c r="G103" t="s">
        <v>6</v>
      </c>
      <c r="H103" t="str">
        <f t="shared" si="1"/>
        <v>PXCEV-F67081GAA</v>
      </c>
      <c r="I103" t="s">
        <v>182</v>
      </c>
      <c r="J103" t="s">
        <v>39</v>
      </c>
      <c r="K103" t="s">
        <v>33</v>
      </c>
      <c r="L103" s="2">
        <v>46</v>
      </c>
      <c r="M103" s="3">
        <v>75</v>
      </c>
      <c r="N103" t="s">
        <v>37</v>
      </c>
      <c r="O103" s="4">
        <v>46356</v>
      </c>
      <c r="P103" t="s">
        <v>11</v>
      </c>
      <c r="Q103" t="s">
        <v>2</v>
      </c>
      <c r="R103" t="s">
        <v>12</v>
      </c>
      <c r="S103" s="4">
        <v>46227</v>
      </c>
      <c r="T103" t="s">
        <v>13</v>
      </c>
      <c r="U103" t="s">
        <v>2</v>
      </c>
      <c r="V103" t="s">
        <v>14</v>
      </c>
      <c r="W103" t="s">
        <v>15</v>
      </c>
      <c r="X103" t="s">
        <v>16</v>
      </c>
      <c r="Y103" t="s">
        <v>136</v>
      </c>
      <c r="Z103" t="s">
        <v>137</v>
      </c>
      <c r="AA103" t="s">
        <v>18</v>
      </c>
      <c r="AB103" t="s">
        <v>19</v>
      </c>
      <c r="AC103" t="s">
        <v>20</v>
      </c>
      <c r="AD103" t="s">
        <v>12</v>
      </c>
      <c r="AE103" t="s">
        <v>21</v>
      </c>
      <c r="AF103" s="5">
        <v>46</v>
      </c>
      <c r="AG103" s="2">
        <v>3450</v>
      </c>
      <c r="AH103" t="s">
        <v>22</v>
      </c>
      <c r="AI103" s="4">
        <v>46356</v>
      </c>
      <c r="AJ103" s="4">
        <v>46363</v>
      </c>
      <c r="AK103" s="4">
        <v>46227</v>
      </c>
      <c r="AL103" t="s">
        <v>2</v>
      </c>
      <c r="AM103" t="s">
        <v>2</v>
      </c>
      <c r="AN103" t="s">
        <v>23</v>
      </c>
    </row>
    <row r="104" spans="1:40" x14ac:dyDescent="0.25">
      <c r="A104" t="s">
        <v>0</v>
      </c>
      <c r="B104" t="s">
        <v>1</v>
      </c>
      <c r="C104" t="s">
        <v>2</v>
      </c>
      <c r="D104" t="s">
        <v>183</v>
      </c>
      <c r="E104" t="s">
        <v>4</v>
      </c>
      <c r="F104" t="s">
        <v>49</v>
      </c>
      <c r="G104" t="s">
        <v>6</v>
      </c>
      <c r="H104" t="str">
        <f t="shared" si="1"/>
        <v>PXBHZ-F65101CAD</v>
      </c>
      <c r="I104" t="s">
        <v>184</v>
      </c>
      <c r="J104" t="s">
        <v>80</v>
      </c>
      <c r="K104" t="s">
        <v>81</v>
      </c>
      <c r="L104" s="2">
        <v>23.5</v>
      </c>
      <c r="M104" s="3">
        <v>5</v>
      </c>
      <c r="N104" t="s">
        <v>139</v>
      </c>
      <c r="O104" s="4">
        <v>46356</v>
      </c>
      <c r="P104" t="s">
        <v>11</v>
      </c>
      <c r="Q104" t="s">
        <v>2</v>
      </c>
      <c r="R104" t="s">
        <v>12</v>
      </c>
      <c r="S104" s="4">
        <v>46227</v>
      </c>
      <c r="T104" t="s">
        <v>13</v>
      </c>
      <c r="U104" t="s">
        <v>2</v>
      </c>
      <c r="V104" t="s">
        <v>14</v>
      </c>
      <c r="W104" t="s">
        <v>15</v>
      </c>
      <c r="X104" t="s">
        <v>16</v>
      </c>
      <c r="Y104" t="s">
        <v>17</v>
      </c>
      <c r="Z104" t="s">
        <v>17</v>
      </c>
      <c r="AA104" t="s">
        <v>18</v>
      </c>
      <c r="AB104" t="s">
        <v>19</v>
      </c>
      <c r="AC104" t="s">
        <v>140</v>
      </c>
      <c r="AD104" t="s">
        <v>34</v>
      </c>
      <c r="AE104" t="s">
        <v>21</v>
      </c>
      <c r="AF104" s="5">
        <v>23.5</v>
      </c>
      <c r="AG104" s="2">
        <v>117.5</v>
      </c>
      <c r="AH104" t="s">
        <v>22</v>
      </c>
      <c r="AI104" s="4">
        <v>46356</v>
      </c>
      <c r="AJ104" s="4">
        <v>46359</v>
      </c>
      <c r="AK104" s="4">
        <v>46227</v>
      </c>
      <c r="AL104" t="s">
        <v>2</v>
      </c>
      <c r="AM104" t="s">
        <v>2</v>
      </c>
      <c r="AN104" t="s">
        <v>23</v>
      </c>
    </row>
    <row r="105" spans="1:40" x14ac:dyDescent="0.25">
      <c r="A105" t="s">
        <v>0</v>
      </c>
      <c r="B105" t="s">
        <v>1</v>
      </c>
      <c r="C105" t="s">
        <v>2</v>
      </c>
      <c r="D105" t="s">
        <v>183</v>
      </c>
      <c r="E105" t="s">
        <v>4</v>
      </c>
      <c r="F105" t="s">
        <v>49</v>
      </c>
      <c r="G105" t="s">
        <v>6</v>
      </c>
      <c r="H105" t="str">
        <f t="shared" si="1"/>
        <v>PXBHZ-F65101CAD</v>
      </c>
      <c r="I105" t="s">
        <v>184</v>
      </c>
      <c r="J105" t="s">
        <v>80</v>
      </c>
      <c r="K105" t="s">
        <v>81</v>
      </c>
      <c r="L105" s="2">
        <v>23.5</v>
      </c>
      <c r="M105" s="3">
        <v>10</v>
      </c>
      <c r="N105" t="s">
        <v>185</v>
      </c>
      <c r="O105" s="4">
        <v>46356</v>
      </c>
      <c r="P105" t="s">
        <v>11</v>
      </c>
      <c r="Q105" t="s">
        <v>2</v>
      </c>
      <c r="R105" t="s">
        <v>12</v>
      </c>
      <c r="S105" s="4">
        <v>46227</v>
      </c>
      <c r="T105" t="s">
        <v>13</v>
      </c>
      <c r="U105" t="s">
        <v>2</v>
      </c>
      <c r="V105" t="s">
        <v>14</v>
      </c>
      <c r="W105" t="s">
        <v>15</v>
      </c>
      <c r="X105" t="s">
        <v>16</v>
      </c>
      <c r="Y105" t="s">
        <v>17</v>
      </c>
      <c r="Z105" t="s">
        <v>17</v>
      </c>
      <c r="AA105" t="s">
        <v>18</v>
      </c>
      <c r="AB105" t="s">
        <v>19</v>
      </c>
      <c r="AC105" t="s">
        <v>147</v>
      </c>
      <c r="AD105" t="s">
        <v>12</v>
      </c>
      <c r="AE105" t="s">
        <v>21</v>
      </c>
      <c r="AF105" s="5">
        <v>23.5</v>
      </c>
      <c r="AG105" s="2">
        <v>235</v>
      </c>
      <c r="AH105" t="s">
        <v>22</v>
      </c>
      <c r="AI105" s="4">
        <v>46356</v>
      </c>
      <c r="AJ105" s="4">
        <v>46359</v>
      </c>
      <c r="AK105" s="4">
        <v>46227</v>
      </c>
      <c r="AL105" t="s">
        <v>2</v>
      </c>
      <c r="AM105" t="s">
        <v>2</v>
      </c>
      <c r="AN105" t="s">
        <v>23</v>
      </c>
    </row>
    <row r="106" spans="1:40" x14ac:dyDescent="0.25">
      <c r="A106" t="s">
        <v>0</v>
      </c>
      <c r="B106" t="s">
        <v>1</v>
      </c>
      <c r="C106" t="s">
        <v>2</v>
      </c>
      <c r="D106" t="s">
        <v>186</v>
      </c>
      <c r="E106" t="s">
        <v>4</v>
      </c>
      <c r="F106" t="s">
        <v>2</v>
      </c>
      <c r="G106" t="s">
        <v>6</v>
      </c>
      <c r="H106" t="str">
        <f t="shared" si="1"/>
        <v>PXCBC-M67115IBC</v>
      </c>
      <c r="I106" t="s">
        <v>187</v>
      </c>
      <c r="J106" t="s">
        <v>53</v>
      </c>
      <c r="K106" t="s">
        <v>54</v>
      </c>
      <c r="L106" s="2">
        <v>86</v>
      </c>
      <c r="M106" s="3">
        <v>3</v>
      </c>
      <c r="N106" t="s">
        <v>55</v>
      </c>
      <c r="O106" s="4">
        <v>46356</v>
      </c>
      <c r="P106" t="s">
        <v>11</v>
      </c>
      <c r="Q106" t="s">
        <v>2</v>
      </c>
      <c r="R106" t="s">
        <v>12</v>
      </c>
      <c r="S106" s="4">
        <v>46227</v>
      </c>
      <c r="T106" t="s">
        <v>13</v>
      </c>
      <c r="U106" t="s">
        <v>2</v>
      </c>
      <c r="V106" t="s">
        <v>14</v>
      </c>
      <c r="W106" t="s">
        <v>15</v>
      </c>
      <c r="X106" t="s">
        <v>16</v>
      </c>
      <c r="Y106" t="s">
        <v>136</v>
      </c>
      <c r="Z106" t="s">
        <v>137</v>
      </c>
      <c r="AA106" t="s">
        <v>18</v>
      </c>
      <c r="AB106" t="s">
        <v>19</v>
      </c>
      <c r="AC106" t="s">
        <v>20</v>
      </c>
      <c r="AD106" t="s">
        <v>12</v>
      </c>
      <c r="AE106" t="s">
        <v>21</v>
      </c>
      <c r="AF106" s="5">
        <v>86</v>
      </c>
      <c r="AG106" s="2">
        <v>258</v>
      </c>
      <c r="AH106" t="s">
        <v>22</v>
      </c>
      <c r="AI106" s="4">
        <v>46356</v>
      </c>
      <c r="AJ106" s="4">
        <v>46363</v>
      </c>
      <c r="AK106" s="4">
        <v>46227</v>
      </c>
      <c r="AL106" t="s">
        <v>2</v>
      </c>
      <c r="AM106" t="s">
        <v>2</v>
      </c>
      <c r="AN106" t="s">
        <v>23</v>
      </c>
    </row>
    <row r="107" spans="1:40" x14ac:dyDescent="0.25">
      <c r="A107" t="s">
        <v>0</v>
      </c>
      <c r="B107" t="s">
        <v>2</v>
      </c>
      <c r="C107" t="s">
        <v>2</v>
      </c>
      <c r="D107" t="s">
        <v>186</v>
      </c>
      <c r="E107" t="s">
        <v>4</v>
      </c>
      <c r="F107" t="s">
        <v>2</v>
      </c>
      <c r="G107" t="s">
        <v>6</v>
      </c>
      <c r="H107" t="str">
        <f t="shared" si="1"/>
        <v>PXCBC-F67008LZZ</v>
      </c>
      <c r="I107" t="s">
        <v>187</v>
      </c>
      <c r="J107" t="s">
        <v>42</v>
      </c>
      <c r="K107" t="s">
        <v>43</v>
      </c>
      <c r="L107" s="2">
        <v>67.8</v>
      </c>
      <c r="M107" s="3">
        <v>110</v>
      </c>
      <c r="N107" t="s">
        <v>27</v>
      </c>
      <c r="O107" s="4">
        <v>46356</v>
      </c>
      <c r="P107" t="s">
        <v>11</v>
      </c>
      <c r="Q107" t="s">
        <v>2</v>
      </c>
      <c r="R107" t="s">
        <v>12</v>
      </c>
      <c r="S107" s="4">
        <v>46227</v>
      </c>
      <c r="T107" t="s">
        <v>13</v>
      </c>
      <c r="U107" t="s">
        <v>2</v>
      </c>
      <c r="V107" t="s">
        <v>14</v>
      </c>
      <c r="W107" t="s">
        <v>15</v>
      </c>
      <c r="X107" t="s">
        <v>16</v>
      </c>
      <c r="Y107" t="s">
        <v>136</v>
      </c>
      <c r="Z107" t="s">
        <v>137</v>
      </c>
      <c r="AA107" t="s">
        <v>18</v>
      </c>
      <c r="AB107" t="s">
        <v>165</v>
      </c>
      <c r="AC107" t="s">
        <v>20</v>
      </c>
      <c r="AD107" t="s">
        <v>12</v>
      </c>
      <c r="AE107" t="s">
        <v>21</v>
      </c>
      <c r="AF107" s="5">
        <v>67.8</v>
      </c>
      <c r="AG107" s="2">
        <v>7458</v>
      </c>
      <c r="AH107" t="s">
        <v>22</v>
      </c>
      <c r="AI107" s="4">
        <v>46356</v>
      </c>
      <c r="AJ107" s="4">
        <v>46363</v>
      </c>
      <c r="AK107" s="4">
        <v>46227</v>
      </c>
      <c r="AL107" t="s">
        <v>2</v>
      </c>
      <c r="AM107" t="s">
        <v>2</v>
      </c>
      <c r="AN107" t="s">
        <v>23</v>
      </c>
    </row>
    <row r="108" spans="1:40" x14ac:dyDescent="0.25">
      <c r="A108" t="s">
        <v>0</v>
      </c>
      <c r="B108" t="s">
        <v>1</v>
      </c>
      <c r="C108" t="s">
        <v>2</v>
      </c>
      <c r="D108" t="s">
        <v>186</v>
      </c>
      <c r="E108" t="s">
        <v>4</v>
      </c>
      <c r="F108" t="s">
        <v>2</v>
      </c>
      <c r="G108" t="s">
        <v>6</v>
      </c>
      <c r="H108" t="str">
        <f t="shared" si="1"/>
        <v>PXCEU-F67008KBG</v>
      </c>
      <c r="I108" t="s">
        <v>188</v>
      </c>
      <c r="J108" t="s">
        <v>126</v>
      </c>
      <c r="K108" t="s">
        <v>43</v>
      </c>
      <c r="L108" s="2">
        <v>85</v>
      </c>
      <c r="M108" s="3">
        <v>2</v>
      </c>
      <c r="N108" t="s">
        <v>30</v>
      </c>
      <c r="O108" s="4">
        <v>46356</v>
      </c>
      <c r="P108" t="s">
        <v>11</v>
      </c>
      <c r="Q108" t="s">
        <v>2</v>
      </c>
      <c r="R108" t="s">
        <v>12</v>
      </c>
      <c r="S108" s="4">
        <v>46227</v>
      </c>
      <c r="T108" t="s">
        <v>13</v>
      </c>
      <c r="U108" t="s">
        <v>2</v>
      </c>
      <c r="V108" t="s">
        <v>14</v>
      </c>
      <c r="W108" t="s">
        <v>15</v>
      </c>
      <c r="X108" t="s">
        <v>16</v>
      </c>
      <c r="Y108" t="s">
        <v>136</v>
      </c>
      <c r="Z108" t="s">
        <v>137</v>
      </c>
      <c r="AA108" t="s">
        <v>18</v>
      </c>
      <c r="AB108" t="s">
        <v>19</v>
      </c>
      <c r="AC108" t="s">
        <v>20</v>
      </c>
      <c r="AD108" t="s">
        <v>34</v>
      </c>
      <c r="AE108" t="s">
        <v>21</v>
      </c>
      <c r="AF108" s="5">
        <v>85</v>
      </c>
      <c r="AG108" s="2">
        <v>170</v>
      </c>
      <c r="AH108" t="s">
        <v>22</v>
      </c>
      <c r="AI108" s="4">
        <v>46356</v>
      </c>
      <c r="AJ108" s="4">
        <v>46363</v>
      </c>
      <c r="AK108" s="4">
        <v>46227</v>
      </c>
      <c r="AL108" t="s">
        <v>2</v>
      </c>
      <c r="AM108" t="s">
        <v>2</v>
      </c>
      <c r="AN108" t="s">
        <v>23</v>
      </c>
    </row>
    <row r="109" spans="1:40" x14ac:dyDescent="0.25">
      <c r="A109" t="s">
        <v>0</v>
      </c>
      <c r="B109" t="s">
        <v>1</v>
      </c>
      <c r="C109" t="s">
        <v>2</v>
      </c>
      <c r="D109" t="s">
        <v>186</v>
      </c>
      <c r="E109" t="s">
        <v>4</v>
      </c>
      <c r="F109" t="s">
        <v>2</v>
      </c>
      <c r="G109" t="s">
        <v>6</v>
      </c>
      <c r="H109" t="str">
        <f t="shared" si="1"/>
        <v>PXCEU-F67008FAB</v>
      </c>
      <c r="I109" t="s">
        <v>188</v>
      </c>
      <c r="J109" t="s">
        <v>126</v>
      </c>
      <c r="K109" t="s">
        <v>43</v>
      </c>
      <c r="L109" s="2">
        <v>85</v>
      </c>
      <c r="M109" s="3">
        <v>2</v>
      </c>
      <c r="N109" t="s">
        <v>10</v>
      </c>
      <c r="O109" s="4">
        <v>46356</v>
      </c>
      <c r="P109" t="s">
        <v>11</v>
      </c>
      <c r="Q109" t="s">
        <v>2</v>
      </c>
      <c r="R109" t="s">
        <v>12</v>
      </c>
      <c r="S109" s="4">
        <v>46227</v>
      </c>
      <c r="T109" t="s">
        <v>13</v>
      </c>
      <c r="U109" t="s">
        <v>2</v>
      </c>
      <c r="V109" t="s">
        <v>14</v>
      </c>
      <c r="W109" t="s">
        <v>15</v>
      </c>
      <c r="X109" t="s">
        <v>16</v>
      </c>
      <c r="Y109" t="s">
        <v>136</v>
      </c>
      <c r="Z109" t="s">
        <v>137</v>
      </c>
      <c r="AA109" t="s">
        <v>18</v>
      </c>
      <c r="AB109" t="s">
        <v>19</v>
      </c>
      <c r="AC109" t="s">
        <v>20</v>
      </c>
      <c r="AD109" t="s">
        <v>12</v>
      </c>
      <c r="AE109" t="s">
        <v>21</v>
      </c>
      <c r="AF109" s="5">
        <v>85</v>
      </c>
      <c r="AG109" s="2">
        <v>170</v>
      </c>
      <c r="AH109" t="s">
        <v>22</v>
      </c>
      <c r="AI109" s="4">
        <v>46356</v>
      </c>
      <c r="AJ109" s="4">
        <v>46363</v>
      </c>
      <c r="AK109" s="4">
        <v>46227</v>
      </c>
      <c r="AL109" t="s">
        <v>2</v>
      </c>
      <c r="AM109" t="s">
        <v>2</v>
      </c>
      <c r="AN109" t="s">
        <v>23</v>
      </c>
    </row>
    <row r="110" spans="1:40" x14ac:dyDescent="0.25">
      <c r="A110" t="s">
        <v>0</v>
      </c>
      <c r="B110" t="s">
        <v>1</v>
      </c>
      <c r="C110" t="s">
        <v>2</v>
      </c>
      <c r="D110" t="s">
        <v>186</v>
      </c>
      <c r="E110" t="s">
        <v>4</v>
      </c>
      <c r="F110" t="s">
        <v>2</v>
      </c>
      <c r="G110" t="s">
        <v>6</v>
      </c>
      <c r="H110" t="str">
        <f t="shared" si="1"/>
        <v>PXCEU-F67081KBG</v>
      </c>
      <c r="I110" t="s">
        <v>189</v>
      </c>
      <c r="J110" t="s">
        <v>32</v>
      </c>
      <c r="K110" t="s">
        <v>33</v>
      </c>
      <c r="L110" s="2">
        <v>45.5</v>
      </c>
      <c r="M110" s="3">
        <v>3</v>
      </c>
      <c r="N110" t="s">
        <v>30</v>
      </c>
      <c r="O110" s="4">
        <v>46356</v>
      </c>
      <c r="P110" t="s">
        <v>11</v>
      </c>
      <c r="Q110" t="s">
        <v>2</v>
      </c>
      <c r="R110" t="s">
        <v>12</v>
      </c>
      <c r="S110" s="4">
        <v>46227</v>
      </c>
      <c r="T110" t="s">
        <v>13</v>
      </c>
      <c r="U110" t="s">
        <v>2</v>
      </c>
      <c r="V110" t="s">
        <v>14</v>
      </c>
      <c r="W110" t="s">
        <v>15</v>
      </c>
      <c r="X110" t="s">
        <v>16</v>
      </c>
      <c r="Y110" t="s">
        <v>136</v>
      </c>
      <c r="Z110" t="s">
        <v>137</v>
      </c>
      <c r="AA110" t="s">
        <v>18</v>
      </c>
      <c r="AB110" t="s">
        <v>19</v>
      </c>
      <c r="AC110" t="s">
        <v>20</v>
      </c>
      <c r="AD110" t="s">
        <v>12</v>
      </c>
      <c r="AE110" t="s">
        <v>21</v>
      </c>
      <c r="AF110" s="5">
        <v>45.5</v>
      </c>
      <c r="AG110" s="2">
        <v>136.5</v>
      </c>
      <c r="AH110" t="s">
        <v>22</v>
      </c>
      <c r="AI110" s="4">
        <v>46356</v>
      </c>
      <c r="AJ110" s="4">
        <v>46363</v>
      </c>
      <c r="AK110" s="4">
        <v>46227</v>
      </c>
      <c r="AL110" t="s">
        <v>2</v>
      </c>
      <c r="AM110" t="s">
        <v>2</v>
      </c>
      <c r="AN110" t="s">
        <v>23</v>
      </c>
    </row>
    <row r="111" spans="1:40" x14ac:dyDescent="0.25">
      <c r="A111" t="s">
        <v>0</v>
      </c>
      <c r="B111" t="s">
        <v>1</v>
      </c>
      <c r="C111" t="s">
        <v>2</v>
      </c>
      <c r="D111" t="s">
        <v>186</v>
      </c>
      <c r="E111" t="s">
        <v>4</v>
      </c>
      <c r="F111" t="s">
        <v>2</v>
      </c>
      <c r="G111" t="s">
        <v>6</v>
      </c>
      <c r="H111" t="str">
        <f t="shared" si="1"/>
        <v>PXCEU-F67081FAB</v>
      </c>
      <c r="I111" t="s">
        <v>189</v>
      </c>
      <c r="J111" t="s">
        <v>32</v>
      </c>
      <c r="K111" t="s">
        <v>33</v>
      </c>
      <c r="L111" s="2">
        <v>45.5</v>
      </c>
      <c r="M111" s="3">
        <v>3</v>
      </c>
      <c r="N111" t="s">
        <v>10</v>
      </c>
      <c r="O111" s="4">
        <v>46356</v>
      </c>
      <c r="P111" t="s">
        <v>11</v>
      </c>
      <c r="Q111" t="s">
        <v>2</v>
      </c>
      <c r="R111" t="s">
        <v>12</v>
      </c>
      <c r="S111" s="4">
        <v>46227</v>
      </c>
      <c r="T111" t="s">
        <v>13</v>
      </c>
      <c r="U111" t="s">
        <v>2</v>
      </c>
      <c r="V111" t="s">
        <v>14</v>
      </c>
      <c r="W111" t="s">
        <v>15</v>
      </c>
      <c r="X111" t="s">
        <v>16</v>
      </c>
      <c r="Y111" t="s">
        <v>136</v>
      </c>
      <c r="Z111" t="s">
        <v>137</v>
      </c>
      <c r="AA111" t="s">
        <v>18</v>
      </c>
      <c r="AB111" t="s">
        <v>19</v>
      </c>
      <c r="AC111" t="s">
        <v>20</v>
      </c>
      <c r="AD111" t="s">
        <v>34</v>
      </c>
      <c r="AE111" t="s">
        <v>21</v>
      </c>
      <c r="AF111" s="5">
        <v>45.5</v>
      </c>
      <c r="AG111" s="2">
        <v>136.5</v>
      </c>
      <c r="AH111" t="s">
        <v>22</v>
      </c>
      <c r="AI111" s="4">
        <v>46356</v>
      </c>
      <c r="AJ111" s="4">
        <v>46363</v>
      </c>
      <c r="AK111" s="4">
        <v>46227</v>
      </c>
      <c r="AL111" t="s">
        <v>2</v>
      </c>
      <c r="AM111" t="s">
        <v>2</v>
      </c>
      <c r="AN111" t="s">
        <v>23</v>
      </c>
    </row>
    <row r="112" spans="1:40" x14ac:dyDescent="0.25">
      <c r="A112" t="s">
        <v>0</v>
      </c>
      <c r="B112" t="s">
        <v>1</v>
      </c>
      <c r="C112" t="s">
        <v>2</v>
      </c>
      <c r="D112" t="s">
        <v>186</v>
      </c>
      <c r="E112" t="s">
        <v>4</v>
      </c>
      <c r="F112" t="s">
        <v>2</v>
      </c>
      <c r="G112" t="s">
        <v>6</v>
      </c>
      <c r="H112" t="str">
        <f t="shared" si="1"/>
        <v>PXCBC-F67008DAB</v>
      </c>
      <c r="I112" t="s">
        <v>190</v>
      </c>
      <c r="J112" t="s">
        <v>42</v>
      </c>
      <c r="K112" t="s">
        <v>43</v>
      </c>
      <c r="L112" s="2">
        <v>67.8</v>
      </c>
      <c r="M112" s="3">
        <v>2</v>
      </c>
      <c r="N112" t="s">
        <v>45</v>
      </c>
      <c r="O112" s="4">
        <v>46356</v>
      </c>
      <c r="P112" t="s">
        <v>11</v>
      </c>
      <c r="Q112" t="s">
        <v>2</v>
      </c>
      <c r="R112" t="s">
        <v>12</v>
      </c>
      <c r="S112" s="4">
        <v>46227</v>
      </c>
      <c r="T112" t="s">
        <v>13</v>
      </c>
      <c r="U112" t="s">
        <v>2</v>
      </c>
      <c r="V112" t="s">
        <v>14</v>
      </c>
      <c r="W112" t="s">
        <v>15</v>
      </c>
      <c r="X112" t="s">
        <v>16</v>
      </c>
      <c r="Y112" t="s">
        <v>136</v>
      </c>
      <c r="Z112" t="s">
        <v>137</v>
      </c>
      <c r="AA112" t="s">
        <v>18</v>
      </c>
      <c r="AB112" t="s">
        <v>19</v>
      </c>
      <c r="AC112" t="s">
        <v>20</v>
      </c>
      <c r="AD112" t="s">
        <v>12</v>
      </c>
      <c r="AE112" t="s">
        <v>21</v>
      </c>
      <c r="AF112" s="5">
        <v>67.8</v>
      </c>
      <c r="AG112" s="2">
        <v>135.6</v>
      </c>
      <c r="AH112" t="s">
        <v>22</v>
      </c>
      <c r="AI112" s="4">
        <v>46356</v>
      </c>
      <c r="AJ112" s="4">
        <v>46363</v>
      </c>
      <c r="AK112" s="4">
        <v>46227</v>
      </c>
      <c r="AL112" t="s">
        <v>2</v>
      </c>
      <c r="AM112" t="s">
        <v>2</v>
      </c>
      <c r="AN112" t="s">
        <v>23</v>
      </c>
    </row>
    <row r="113" spans="1:40" x14ac:dyDescent="0.25">
      <c r="A113" t="s">
        <v>0</v>
      </c>
      <c r="B113" t="s">
        <v>1</v>
      </c>
      <c r="C113" t="s">
        <v>2</v>
      </c>
      <c r="D113" t="s">
        <v>186</v>
      </c>
      <c r="E113" t="s">
        <v>4</v>
      </c>
      <c r="F113" t="s">
        <v>2</v>
      </c>
      <c r="G113" t="s">
        <v>6</v>
      </c>
      <c r="H113" t="str">
        <f t="shared" si="1"/>
        <v>PXCBC-F67081DAB</v>
      </c>
      <c r="I113" t="s">
        <v>191</v>
      </c>
      <c r="J113" t="s">
        <v>63</v>
      </c>
      <c r="K113" t="s">
        <v>33</v>
      </c>
      <c r="L113" s="2">
        <v>38.5</v>
      </c>
      <c r="M113" s="3">
        <v>5</v>
      </c>
      <c r="N113" t="s">
        <v>45</v>
      </c>
      <c r="O113" s="4">
        <v>46356</v>
      </c>
      <c r="P113" t="s">
        <v>11</v>
      </c>
      <c r="Q113" t="s">
        <v>2</v>
      </c>
      <c r="R113" t="s">
        <v>12</v>
      </c>
      <c r="S113" s="4">
        <v>46227</v>
      </c>
      <c r="T113" t="s">
        <v>13</v>
      </c>
      <c r="U113" t="s">
        <v>2</v>
      </c>
      <c r="V113" t="s">
        <v>14</v>
      </c>
      <c r="W113" t="s">
        <v>15</v>
      </c>
      <c r="X113" t="s">
        <v>16</v>
      </c>
      <c r="Y113" t="s">
        <v>136</v>
      </c>
      <c r="Z113" t="s">
        <v>137</v>
      </c>
      <c r="AA113" t="s">
        <v>18</v>
      </c>
      <c r="AB113" t="s">
        <v>19</v>
      </c>
      <c r="AC113" t="s">
        <v>20</v>
      </c>
      <c r="AD113" t="s">
        <v>12</v>
      </c>
      <c r="AE113" t="s">
        <v>21</v>
      </c>
      <c r="AF113" s="5">
        <v>38.5</v>
      </c>
      <c r="AG113" s="2">
        <v>192.5</v>
      </c>
      <c r="AH113" t="s">
        <v>22</v>
      </c>
      <c r="AI113" s="4">
        <v>46356</v>
      </c>
      <c r="AJ113" s="4">
        <v>46363</v>
      </c>
      <c r="AK113" s="4">
        <v>46227</v>
      </c>
      <c r="AL113" t="s">
        <v>2</v>
      </c>
      <c r="AM113" t="s">
        <v>2</v>
      </c>
      <c r="AN113" t="s">
        <v>23</v>
      </c>
    </row>
    <row r="114" spans="1:40" x14ac:dyDescent="0.25">
      <c r="A114" t="s">
        <v>0</v>
      </c>
      <c r="B114" t="s">
        <v>1</v>
      </c>
      <c r="C114" t="s">
        <v>2</v>
      </c>
      <c r="D114" t="s">
        <v>186</v>
      </c>
      <c r="E114" t="s">
        <v>4</v>
      </c>
      <c r="F114" t="s">
        <v>2</v>
      </c>
      <c r="G114" t="s">
        <v>6</v>
      </c>
      <c r="H114" t="str">
        <f t="shared" si="1"/>
        <v>PXCEV-F67081GAA</v>
      </c>
      <c r="I114" t="s">
        <v>192</v>
      </c>
      <c r="J114" t="s">
        <v>39</v>
      </c>
      <c r="K114" t="s">
        <v>33</v>
      </c>
      <c r="L114" s="2">
        <v>46</v>
      </c>
      <c r="M114" s="3">
        <v>2</v>
      </c>
      <c r="N114" t="s">
        <v>37</v>
      </c>
      <c r="O114" s="4">
        <v>46356</v>
      </c>
      <c r="P114" t="s">
        <v>11</v>
      </c>
      <c r="Q114" t="s">
        <v>2</v>
      </c>
      <c r="R114" t="s">
        <v>12</v>
      </c>
      <c r="S114" s="4">
        <v>46227</v>
      </c>
      <c r="T114" t="s">
        <v>13</v>
      </c>
      <c r="U114" t="s">
        <v>2</v>
      </c>
      <c r="V114" t="s">
        <v>14</v>
      </c>
      <c r="W114" t="s">
        <v>15</v>
      </c>
      <c r="X114" t="s">
        <v>16</v>
      </c>
      <c r="Y114" t="s">
        <v>136</v>
      </c>
      <c r="Z114" t="s">
        <v>137</v>
      </c>
      <c r="AA114" t="s">
        <v>18</v>
      </c>
      <c r="AB114" t="s">
        <v>19</v>
      </c>
      <c r="AC114" t="s">
        <v>20</v>
      </c>
      <c r="AD114" t="s">
        <v>12</v>
      </c>
      <c r="AE114" t="s">
        <v>21</v>
      </c>
      <c r="AF114" s="5">
        <v>46</v>
      </c>
      <c r="AG114" s="2">
        <v>92</v>
      </c>
      <c r="AH114" t="s">
        <v>22</v>
      </c>
      <c r="AI114" s="4">
        <v>46356</v>
      </c>
      <c r="AJ114" s="4">
        <v>46363</v>
      </c>
      <c r="AK114" s="4">
        <v>46227</v>
      </c>
      <c r="AL114" t="s">
        <v>2</v>
      </c>
      <c r="AM114" t="s">
        <v>2</v>
      </c>
      <c r="AN114" t="s">
        <v>23</v>
      </c>
    </row>
    <row r="115" spans="1:40" x14ac:dyDescent="0.25">
      <c r="A115" t="s">
        <v>0</v>
      </c>
      <c r="B115" t="s">
        <v>1</v>
      </c>
      <c r="C115" t="s">
        <v>2</v>
      </c>
      <c r="D115" t="s">
        <v>186</v>
      </c>
      <c r="E115" t="s">
        <v>4</v>
      </c>
      <c r="F115" t="s">
        <v>193</v>
      </c>
      <c r="G115" t="s">
        <v>6</v>
      </c>
      <c r="H115" t="str">
        <f t="shared" si="1"/>
        <v>PXBMW-F63034FAB</v>
      </c>
      <c r="I115" t="s">
        <v>194</v>
      </c>
      <c r="J115" t="s">
        <v>8</v>
      </c>
      <c r="K115" t="s">
        <v>9</v>
      </c>
      <c r="L115" s="2">
        <v>1</v>
      </c>
      <c r="M115" s="3">
        <v>47</v>
      </c>
      <c r="N115" t="s">
        <v>10</v>
      </c>
      <c r="O115" s="4">
        <v>46356</v>
      </c>
      <c r="P115" t="s">
        <v>11</v>
      </c>
      <c r="Q115" t="s">
        <v>2</v>
      </c>
      <c r="R115" t="s">
        <v>12</v>
      </c>
      <c r="S115" s="4">
        <v>46226</v>
      </c>
      <c r="T115" t="s">
        <v>13</v>
      </c>
      <c r="U115" t="s">
        <v>2</v>
      </c>
      <c r="V115" t="s">
        <v>14</v>
      </c>
      <c r="W115" t="s">
        <v>15</v>
      </c>
      <c r="X115" t="s">
        <v>16</v>
      </c>
      <c r="Y115" t="s">
        <v>17</v>
      </c>
      <c r="Z115" t="s">
        <v>17</v>
      </c>
      <c r="AA115" t="s">
        <v>18</v>
      </c>
      <c r="AB115" t="s">
        <v>19</v>
      </c>
      <c r="AC115" t="s">
        <v>20</v>
      </c>
      <c r="AD115" t="s">
        <v>12</v>
      </c>
      <c r="AE115" t="s">
        <v>21</v>
      </c>
      <c r="AF115" s="5">
        <v>1</v>
      </c>
      <c r="AG115" s="2">
        <v>47</v>
      </c>
      <c r="AH115" t="s">
        <v>22</v>
      </c>
      <c r="AI115" s="4">
        <v>46356</v>
      </c>
      <c r="AJ115" s="4">
        <v>46359</v>
      </c>
      <c r="AK115" s="4">
        <v>46226</v>
      </c>
      <c r="AL115" t="s">
        <v>2</v>
      </c>
      <c r="AM115" t="s">
        <v>2</v>
      </c>
      <c r="AN115" t="s">
        <v>23</v>
      </c>
    </row>
    <row r="116" spans="1:40" x14ac:dyDescent="0.25">
      <c r="A116" t="s">
        <v>0</v>
      </c>
      <c r="B116" t="s">
        <v>1</v>
      </c>
      <c r="C116" t="s">
        <v>2</v>
      </c>
      <c r="D116" t="s">
        <v>186</v>
      </c>
      <c r="E116" t="s">
        <v>4</v>
      </c>
      <c r="F116" t="s">
        <v>193</v>
      </c>
      <c r="G116" t="s">
        <v>6</v>
      </c>
      <c r="H116" t="str">
        <f t="shared" si="1"/>
        <v>PXBHZ-F65101CAD</v>
      </c>
      <c r="I116" t="s">
        <v>195</v>
      </c>
      <c r="J116" t="s">
        <v>80</v>
      </c>
      <c r="K116" t="s">
        <v>81</v>
      </c>
      <c r="L116" s="2">
        <v>23.5</v>
      </c>
      <c r="M116" s="3">
        <v>3</v>
      </c>
      <c r="N116" t="s">
        <v>139</v>
      </c>
      <c r="O116" s="4">
        <v>46356</v>
      </c>
      <c r="P116" t="s">
        <v>11</v>
      </c>
      <c r="Q116" t="s">
        <v>2</v>
      </c>
      <c r="R116" t="s">
        <v>12</v>
      </c>
      <c r="S116" s="4">
        <v>46227</v>
      </c>
      <c r="T116" t="s">
        <v>13</v>
      </c>
      <c r="U116" t="s">
        <v>2</v>
      </c>
      <c r="V116" t="s">
        <v>14</v>
      </c>
      <c r="W116" t="s">
        <v>15</v>
      </c>
      <c r="X116" t="s">
        <v>16</v>
      </c>
      <c r="Y116" t="s">
        <v>17</v>
      </c>
      <c r="Z116" t="s">
        <v>17</v>
      </c>
      <c r="AA116" t="s">
        <v>18</v>
      </c>
      <c r="AB116" t="s">
        <v>19</v>
      </c>
      <c r="AC116" t="s">
        <v>140</v>
      </c>
      <c r="AD116" t="s">
        <v>12</v>
      </c>
      <c r="AE116" t="s">
        <v>21</v>
      </c>
      <c r="AF116" s="5">
        <v>23.5</v>
      </c>
      <c r="AG116" s="2">
        <v>70.5</v>
      </c>
      <c r="AH116" t="s">
        <v>22</v>
      </c>
      <c r="AI116" s="4">
        <v>46356</v>
      </c>
      <c r="AJ116" s="4">
        <v>46359</v>
      </c>
      <c r="AK116" s="4">
        <v>46227</v>
      </c>
      <c r="AL116" t="s">
        <v>2</v>
      </c>
      <c r="AM116" t="s">
        <v>2</v>
      </c>
      <c r="AN116" t="s">
        <v>23</v>
      </c>
    </row>
    <row r="117" spans="1:40" x14ac:dyDescent="0.25">
      <c r="A117" t="s">
        <v>0</v>
      </c>
      <c r="B117" t="s">
        <v>1</v>
      </c>
      <c r="C117" t="s">
        <v>2</v>
      </c>
      <c r="D117" t="s">
        <v>186</v>
      </c>
      <c r="E117" t="s">
        <v>4</v>
      </c>
      <c r="F117" t="s">
        <v>193</v>
      </c>
      <c r="G117" t="s">
        <v>6</v>
      </c>
      <c r="H117" t="str">
        <f t="shared" si="1"/>
        <v>PXBHZ-F65101LZZ</v>
      </c>
      <c r="I117" t="s">
        <v>195</v>
      </c>
      <c r="J117" t="s">
        <v>80</v>
      </c>
      <c r="K117" t="s">
        <v>81</v>
      </c>
      <c r="L117" s="2">
        <v>23.5</v>
      </c>
      <c r="M117" s="3">
        <v>3</v>
      </c>
      <c r="N117" t="s">
        <v>146</v>
      </c>
      <c r="O117" s="4">
        <v>46356</v>
      </c>
      <c r="P117" t="s">
        <v>11</v>
      </c>
      <c r="Q117" t="s">
        <v>2</v>
      </c>
      <c r="R117" t="s">
        <v>12</v>
      </c>
      <c r="S117" s="4">
        <v>46227</v>
      </c>
      <c r="T117" t="s">
        <v>13</v>
      </c>
      <c r="U117" t="s">
        <v>2</v>
      </c>
      <c r="V117" t="s">
        <v>14</v>
      </c>
      <c r="W117" t="s">
        <v>15</v>
      </c>
      <c r="X117" t="s">
        <v>16</v>
      </c>
      <c r="Y117" t="s">
        <v>17</v>
      </c>
      <c r="Z117" t="s">
        <v>17</v>
      </c>
      <c r="AA117" t="s">
        <v>18</v>
      </c>
      <c r="AB117" t="s">
        <v>19</v>
      </c>
      <c r="AC117" t="s">
        <v>147</v>
      </c>
      <c r="AD117" t="s">
        <v>34</v>
      </c>
      <c r="AE117" t="s">
        <v>21</v>
      </c>
      <c r="AF117" s="5">
        <v>23.5</v>
      </c>
      <c r="AG117" s="2">
        <v>70.5</v>
      </c>
      <c r="AH117" t="s">
        <v>22</v>
      </c>
      <c r="AI117" s="4">
        <v>46356</v>
      </c>
      <c r="AJ117" s="4">
        <v>46359</v>
      </c>
      <c r="AK117" s="4">
        <v>46227</v>
      </c>
      <c r="AL117" t="s">
        <v>2</v>
      </c>
      <c r="AM117" t="s">
        <v>2</v>
      </c>
      <c r="AN117" t="s">
        <v>23</v>
      </c>
    </row>
    <row r="118" spans="1:40" x14ac:dyDescent="0.25">
      <c r="A118" t="s">
        <v>0</v>
      </c>
      <c r="B118" t="s">
        <v>1</v>
      </c>
      <c r="C118" t="s">
        <v>2</v>
      </c>
      <c r="D118" t="s">
        <v>186</v>
      </c>
      <c r="E118" t="s">
        <v>4</v>
      </c>
      <c r="F118" t="s">
        <v>193</v>
      </c>
      <c r="G118" t="s">
        <v>6</v>
      </c>
      <c r="H118" t="str">
        <f t="shared" si="1"/>
        <v>PXBHZ-F65101CAD</v>
      </c>
      <c r="I118" t="s">
        <v>195</v>
      </c>
      <c r="J118" t="s">
        <v>80</v>
      </c>
      <c r="K118" t="s">
        <v>81</v>
      </c>
      <c r="L118" s="2">
        <v>23.5</v>
      </c>
      <c r="M118" s="3">
        <v>3</v>
      </c>
      <c r="N118" t="s">
        <v>185</v>
      </c>
      <c r="O118" s="4">
        <v>46356</v>
      </c>
      <c r="P118" t="s">
        <v>11</v>
      </c>
      <c r="Q118" t="s">
        <v>2</v>
      </c>
      <c r="R118" t="s">
        <v>12</v>
      </c>
      <c r="S118" s="4">
        <v>46227</v>
      </c>
      <c r="T118" t="s">
        <v>13</v>
      </c>
      <c r="U118" t="s">
        <v>2</v>
      </c>
      <c r="V118" t="s">
        <v>14</v>
      </c>
      <c r="W118" t="s">
        <v>15</v>
      </c>
      <c r="X118" t="s">
        <v>16</v>
      </c>
      <c r="Y118" t="s">
        <v>17</v>
      </c>
      <c r="Z118" t="s">
        <v>17</v>
      </c>
      <c r="AA118" t="s">
        <v>18</v>
      </c>
      <c r="AB118" t="s">
        <v>19</v>
      </c>
      <c r="AC118" t="s">
        <v>147</v>
      </c>
      <c r="AD118" t="s">
        <v>88</v>
      </c>
      <c r="AE118" t="s">
        <v>21</v>
      </c>
      <c r="AF118" s="5">
        <v>23.5</v>
      </c>
      <c r="AG118" s="2">
        <v>70.5</v>
      </c>
      <c r="AH118" t="s">
        <v>22</v>
      </c>
      <c r="AI118" s="4">
        <v>46356</v>
      </c>
      <c r="AJ118" s="4">
        <v>46359</v>
      </c>
      <c r="AK118" s="4">
        <v>46227</v>
      </c>
      <c r="AL118" t="s">
        <v>2</v>
      </c>
      <c r="AM118" t="s">
        <v>2</v>
      </c>
      <c r="AN118" t="s">
        <v>23</v>
      </c>
    </row>
    <row r="119" spans="1:40" x14ac:dyDescent="0.25">
      <c r="A119" t="s">
        <v>0</v>
      </c>
      <c r="B119" t="s">
        <v>1</v>
      </c>
      <c r="C119" t="s">
        <v>2</v>
      </c>
      <c r="D119" t="s">
        <v>186</v>
      </c>
      <c r="E119" t="s">
        <v>4</v>
      </c>
      <c r="F119" t="s">
        <v>193</v>
      </c>
      <c r="G119" t="s">
        <v>6</v>
      </c>
      <c r="H119" t="str">
        <f t="shared" si="1"/>
        <v>PXBHZ-F65101LZZ</v>
      </c>
      <c r="I119" t="s">
        <v>195</v>
      </c>
      <c r="J119" t="s">
        <v>80</v>
      </c>
      <c r="K119" t="s">
        <v>81</v>
      </c>
      <c r="L119" s="2">
        <v>23.5</v>
      </c>
      <c r="M119" s="3">
        <v>4</v>
      </c>
      <c r="N119" t="s">
        <v>82</v>
      </c>
      <c r="O119" s="4">
        <v>46356</v>
      </c>
      <c r="P119" t="s">
        <v>11</v>
      </c>
      <c r="Q119" t="s">
        <v>2</v>
      </c>
      <c r="R119" t="s">
        <v>12</v>
      </c>
      <c r="S119" s="4">
        <v>46227</v>
      </c>
      <c r="T119" t="s">
        <v>13</v>
      </c>
      <c r="U119" t="s">
        <v>2</v>
      </c>
      <c r="V119" t="s">
        <v>14</v>
      </c>
      <c r="W119" t="s">
        <v>15</v>
      </c>
      <c r="X119" t="s">
        <v>16</v>
      </c>
      <c r="Y119" t="s">
        <v>17</v>
      </c>
      <c r="Z119" t="s">
        <v>17</v>
      </c>
      <c r="AA119" t="s">
        <v>18</v>
      </c>
      <c r="AB119" t="s">
        <v>19</v>
      </c>
      <c r="AC119" t="s">
        <v>83</v>
      </c>
      <c r="AD119" t="s">
        <v>150</v>
      </c>
      <c r="AE119" t="s">
        <v>21</v>
      </c>
      <c r="AF119" s="5">
        <v>23.5</v>
      </c>
      <c r="AG119" s="2">
        <v>94</v>
      </c>
      <c r="AH119" t="s">
        <v>22</v>
      </c>
      <c r="AI119" s="4">
        <v>46356</v>
      </c>
      <c r="AJ119" s="4">
        <v>46359</v>
      </c>
      <c r="AK119" s="4">
        <v>46227</v>
      </c>
      <c r="AL119" t="s">
        <v>2</v>
      </c>
      <c r="AM119" t="s">
        <v>2</v>
      </c>
      <c r="AN119" t="s">
        <v>23</v>
      </c>
    </row>
    <row r="120" spans="1:40" x14ac:dyDescent="0.25">
      <c r="A120" t="s">
        <v>0</v>
      </c>
      <c r="B120" t="s">
        <v>1</v>
      </c>
      <c r="C120" t="s">
        <v>2</v>
      </c>
      <c r="D120" t="s">
        <v>186</v>
      </c>
      <c r="E120" t="s">
        <v>4</v>
      </c>
      <c r="F120" t="s">
        <v>193</v>
      </c>
      <c r="G120" t="s">
        <v>6</v>
      </c>
      <c r="H120" t="str">
        <f t="shared" si="1"/>
        <v>PXBHZ-F65101LZZ</v>
      </c>
      <c r="I120" t="s">
        <v>195</v>
      </c>
      <c r="J120" t="s">
        <v>80</v>
      </c>
      <c r="K120" t="s">
        <v>81</v>
      </c>
      <c r="L120" s="2">
        <v>23.5</v>
      </c>
      <c r="M120" s="3">
        <v>1</v>
      </c>
      <c r="N120" t="s">
        <v>86</v>
      </c>
      <c r="O120" s="4">
        <v>46356</v>
      </c>
      <c r="P120" t="s">
        <v>11</v>
      </c>
      <c r="Q120" t="s">
        <v>2</v>
      </c>
      <c r="R120" t="s">
        <v>12</v>
      </c>
      <c r="S120" s="4">
        <v>46227</v>
      </c>
      <c r="T120" t="s">
        <v>13</v>
      </c>
      <c r="U120" t="s">
        <v>2</v>
      </c>
      <c r="V120" t="s">
        <v>14</v>
      </c>
      <c r="W120" t="s">
        <v>15</v>
      </c>
      <c r="X120" t="s">
        <v>16</v>
      </c>
      <c r="Y120" t="s">
        <v>17</v>
      </c>
      <c r="Z120" t="s">
        <v>17</v>
      </c>
      <c r="AA120" t="s">
        <v>18</v>
      </c>
      <c r="AB120" t="s">
        <v>19</v>
      </c>
      <c r="AC120" t="s">
        <v>87</v>
      </c>
      <c r="AD120" t="s">
        <v>143</v>
      </c>
      <c r="AE120" t="s">
        <v>21</v>
      </c>
      <c r="AF120" s="5">
        <v>23.5</v>
      </c>
      <c r="AG120" s="2">
        <v>23.5</v>
      </c>
      <c r="AH120" t="s">
        <v>22</v>
      </c>
      <c r="AI120" s="4">
        <v>46356</v>
      </c>
      <c r="AJ120" s="4">
        <v>46359</v>
      </c>
      <c r="AK120" s="4">
        <v>46227</v>
      </c>
      <c r="AL120" t="s">
        <v>2</v>
      </c>
      <c r="AM120" t="s">
        <v>2</v>
      </c>
      <c r="AN120" t="s">
        <v>23</v>
      </c>
    </row>
    <row r="121" spans="1:40" x14ac:dyDescent="0.25">
      <c r="A121" t="s">
        <v>0</v>
      </c>
      <c r="B121" t="s">
        <v>1</v>
      </c>
      <c r="C121" t="s">
        <v>2</v>
      </c>
      <c r="D121" t="s">
        <v>186</v>
      </c>
      <c r="E121" t="s">
        <v>4</v>
      </c>
      <c r="F121" t="s">
        <v>193</v>
      </c>
      <c r="G121" t="s">
        <v>6</v>
      </c>
      <c r="H121" t="str">
        <f t="shared" si="1"/>
        <v>PXBHZ-F65101CAD</v>
      </c>
      <c r="I121" t="s">
        <v>195</v>
      </c>
      <c r="J121" t="s">
        <v>80</v>
      </c>
      <c r="K121" t="s">
        <v>81</v>
      </c>
      <c r="L121" s="2">
        <v>23.5</v>
      </c>
      <c r="M121" s="3">
        <v>2</v>
      </c>
      <c r="N121" t="s">
        <v>89</v>
      </c>
      <c r="O121" s="4">
        <v>46356</v>
      </c>
      <c r="P121" t="s">
        <v>11</v>
      </c>
      <c r="Q121" t="s">
        <v>2</v>
      </c>
      <c r="R121" t="s">
        <v>12</v>
      </c>
      <c r="S121" s="4">
        <v>46227</v>
      </c>
      <c r="T121" t="s">
        <v>13</v>
      </c>
      <c r="U121" t="s">
        <v>2</v>
      </c>
      <c r="V121" t="s">
        <v>14</v>
      </c>
      <c r="W121" t="s">
        <v>15</v>
      </c>
      <c r="X121" t="s">
        <v>16</v>
      </c>
      <c r="Y121" t="s">
        <v>17</v>
      </c>
      <c r="Z121" t="s">
        <v>17</v>
      </c>
      <c r="AA121" t="s">
        <v>18</v>
      </c>
      <c r="AB121" t="s">
        <v>19</v>
      </c>
      <c r="AC121" t="s">
        <v>87</v>
      </c>
      <c r="AD121" t="s">
        <v>84</v>
      </c>
      <c r="AE121" t="s">
        <v>21</v>
      </c>
      <c r="AF121" s="5">
        <v>23.5</v>
      </c>
      <c r="AG121" s="2">
        <v>47</v>
      </c>
      <c r="AH121" t="s">
        <v>22</v>
      </c>
      <c r="AI121" s="4">
        <v>46356</v>
      </c>
      <c r="AJ121" s="4">
        <v>46359</v>
      </c>
      <c r="AK121" s="4">
        <v>46227</v>
      </c>
      <c r="AL121" t="s">
        <v>2</v>
      </c>
      <c r="AM121" t="s">
        <v>2</v>
      </c>
      <c r="AN121" t="s">
        <v>23</v>
      </c>
    </row>
    <row r="122" spans="1:40" x14ac:dyDescent="0.25">
      <c r="A122" t="s">
        <v>0</v>
      </c>
      <c r="B122" t="s">
        <v>1</v>
      </c>
      <c r="C122" t="s">
        <v>2</v>
      </c>
      <c r="D122" t="s">
        <v>186</v>
      </c>
      <c r="E122" t="s">
        <v>4</v>
      </c>
      <c r="F122" t="s">
        <v>193</v>
      </c>
      <c r="G122" t="s">
        <v>6</v>
      </c>
      <c r="H122" t="str">
        <f t="shared" si="1"/>
        <v>PXBHZ-H65077LZZ</v>
      </c>
      <c r="I122" t="s">
        <v>196</v>
      </c>
      <c r="J122" t="s">
        <v>91</v>
      </c>
      <c r="K122" t="s">
        <v>92</v>
      </c>
      <c r="L122" s="2">
        <v>32.1</v>
      </c>
      <c r="M122" s="3">
        <v>16</v>
      </c>
      <c r="N122" t="s">
        <v>93</v>
      </c>
      <c r="O122" s="4">
        <v>46356</v>
      </c>
      <c r="P122" t="s">
        <v>11</v>
      </c>
      <c r="Q122" t="s">
        <v>2</v>
      </c>
      <c r="R122" t="s">
        <v>12</v>
      </c>
      <c r="S122" s="4">
        <v>46227</v>
      </c>
      <c r="T122" t="s">
        <v>13</v>
      </c>
      <c r="U122" t="s">
        <v>2</v>
      </c>
      <c r="V122" t="s">
        <v>14</v>
      </c>
      <c r="W122" t="s">
        <v>15</v>
      </c>
      <c r="X122" t="s">
        <v>16</v>
      </c>
      <c r="Y122" t="s">
        <v>17</v>
      </c>
      <c r="Z122" t="s">
        <v>17</v>
      </c>
      <c r="AA122" t="s">
        <v>18</v>
      </c>
      <c r="AB122" t="s">
        <v>19</v>
      </c>
      <c r="AC122" t="s">
        <v>94</v>
      </c>
      <c r="AD122" t="s">
        <v>12</v>
      </c>
      <c r="AE122" t="s">
        <v>21</v>
      </c>
      <c r="AF122" s="5">
        <v>32.1</v>
      </c>
      <c r="AG122" s="2">
        <v>513.6</v>
      </c>
      <c r="AH122" t="s">
        <v>22</v>
      </c>
      <c r="AI122" s="4">
        <v>46356</v>
      </c>
      <c r="AJ122" s="4">
        <v>46359</v>
      </c>
      <c r="AK122" s="4">
        <v>46227</v>
      </c>
      <c r="AL122" t="s">
        <v>2</v>
      </c>
      <c r="AM122" t="s">
        <v>2</v>
      </c>
      <c r="AN122" t="s">
        <v>23</v>
      </c>
    </row>
    <row r="123" spans="1:40" x14ac:dyDescent="0.25">
      <c r="A123" t="s">
        <v>0</v>
      </c>
      <c r="B123" t="s">
        <v>1</v>
      </c>
      <c r="C123" t="s">
        <v>2</v>
      </c>
      <c r="D123" t="s">
        <v>186</v>
      </c>
      <c r="E123" t="s">
        <v>4</v>
      </c>
      <c r="F123" t="s">
        <v>193</v>
      </c>
      <c r="G123" t="s">
        <v>6</v>
      </c>
      <c r="H123" t="str">
        <f t="shared" si="1"/>
        <v>PXBHZ-H65077CAE</v>
      </c>
      <c r="I123" t="s">
        <v>196</v>
      </c>
      <c r="J123" t="s">
        <v>91</v>
      </c>
      <c r="K123" t="s">
        <v>92</v>
      </c>
      <c r="L123" s="2">
        <v>32.1</v>
      </c>
      <c r="M123" s="3">
        <v>19</v>
      </c>
      <c r="N123" t="s">
        <v>142</v>
      </c>
      <c r="O123" s="4">
        <v>46356</v>
      </c>
      <c r="P123" t="s">
        <v>11</v>
      </c>
      <c r="Q123" t="s">
        <v>2</v>
      </c>
      <c r="R123" t="s">
        <v>12</v>
      </c>
      <c r="S123" s="4">
        <v>46227</v>
      </c>
      <c r="T123" t="s">
        <v>13</v>
      </c>
      <c r="U123" t="s">
        <v>2</v>
      </c>
      <c r="V123" t="s">
        <v>14</v>
      </c>
      <c r="W123" t="s">
        <v>15</v>
      </c>
      <c r="X123" t="s">
        <v>16</v>
      </c>
      <c r="Y123" t="s">
        <v>17</v>
      </c>
      <c r="Z123" t="s">
        <v>17</v>
      </c>
      <c r="AA123" t="s">
        <v>18</v>
      </c>
      <c r="AB123" t="s">
        <v>19</v>
      </c>
      <c r="AC123" t="s">
        <v>94</v>
      </c>
      <c r="AD123" t="s">
        <v>88</v>
      </c>
      <c r="AE123" t="s">
        <v>21</v>
      </c>
      <c r="AF123" s="5">
        <v>32.1</v>
      </c>
      <c r="AG123" s="2">
        <v>609.9</v>
      </c>
      <c r="AH123" t="s">
        <v>22</v>
      </c>
      <c r="AI123" s="4">
        <v>46356</v>
      </c>
      <c r="AJ123" s="4">
        <v>46359</v>
      </c>
      <c r="AK123" s="4">
        <v>46227</v>
      </c>
      <c r="AL123" t="s">
        <v>2</v>
      </c>
      <c r="AM123" t="s">
        <v>2</v>
      </c>
      <c r="AN123" t="s">
        <v>23</v>
      </c>
    </row>
    <row r="124" spans="1:40" x14ac:dyDescent="0.25">
      <c r="A124" t="s">
        <v>0</v>
      </c>
      <c r="B124" t="s">
        <v>1</v>
      </c>
      <c r="C124" t="s">
        <v>2</v>
      </c>
      <c r="D124" t="s">
        <v>186</v>
      </c>
      <c r="E124" t="s">
        <v>4</v>
      </c>
      <c r="F124" t="s">
        <v>193</v>
      </c>
      <c r="G124" t="s">
        <v>6</v>
      </c>
      <c r="H124" t="str">
        <f t="shared" si="1"/>
        <v>PXBHZ-H65077LZZ</v>
      </c>
      <c r="I124" t="s">
        <v>196</v>
      </c>
      <c r="J124" t="s">
        <v>91</v>
      </c>
      <c r="K124" t="s">
        <v>92</v>
      </c>
      <c r="L124" s="2">
        <v>32.1</v>
      </c>
      <c r="M124" s="3">
        <v>13</v>
      </c>
      <c r="N124" t="s">
        <v>144</v>
      </c>
      <c r="O124" s="4">
        <v>46356</v>
      </c>
      <c r="P124" t="s">
        <v>11</v>
      </c>
      <c r="Q124" t="s">
        <v>2</v>
      </c>
      <c r="R124" t="s">
        <v>12</v>
      </c>
      <c r="S124" s="4">
        <v>46227</v>
      </c>
      <c r="T124" t="s">
        <v>13</v>
      </c>
      <c r="U124" t="s">
        <v>2</v>
      </c>
      <c r="V124" t="s">
        <v>14</v>
      </c>
      <c r="W124" t="s">
        <v>15</v>
      </c>
      <c r="X124" t="s">
        <v>16</v>
      </c>
      <c r="Y124" t="s">
        <v>17</v>
      </c>
      <c r="Z124" t="s">
        <v>17</v>
      </c>
      <c r="AA124" t="s">
        <v>18</v>
      </c>
      <c r="AB124" t="s">
        <v>19</v>
      </c>
      <c r="AC124" t="s">
        <v>140</v>
      </c>
      <c r="AD124" t="s">
        <v>150</v>
      </c>
      <c r="AE124" t="s">
        <v>21</v>
      </c>
      <c r="AF124" s="5">
        <v>32.1</v>
      </c>
      <c r="AG124" s="2">
        <v>417.3</v>
      </c>
      <c r="AH124" t="s">
        <v>22</v>
      </c>
      <c r="AI124" s="4">
        <v>46356</v>
      </c>
      <c r="AJ124" s="4">
        <v>46359</v>
      </c>
      <c r="AK124" s="4">
        <v>46227</v>
      </c>
      <c r="AL124" t="s">
        <v>2</v>
      </c>
      <c r="AM124" t="s">
        <v>2</v>
      </c>
      <c r="AN124" t="s">
        <v>23</v>
      </c>
    </row>
    <row r="125" spans="1:40" x14ac:dyDescent="0.25">
      <c r="A125" t="s">
        <v>0</v>
      </c>
      <c r="B125" t="s">
        <v>1</v>
      </c>
      <c r="C125" t="s">
        <v>2</v>
      </c>
      <c r="D125" t="s">
        <v>186</v>
      </c>
      <c r="E125" t="s">
        <v>4</v>
      </c>
      <c r="F125" t="s">
        <v>193</v>
      </c>
      <c r="G125" t="s">
        <v>6</v>
      </c>
      <c r="H125" t="str">
        <f t="shared" si="1"/>
        <v>PXBHZ-H65077CAE</v>
      </c>
      <c r="I125" t="s">
        <v>196</v>
      </c>
      <c r="J125" t="s">
        <v>91</v>
      </c>
      <c r="K125" t="s">
        <v>92</v>
      </c>
      <c r="L125" s="2">
        <v>32.1</v>
      </c>
      <c r="M125" s="3">
        <v>17</v>
      </c>
      <c r="N125" t="s">
        <v>145</v>
      </c>
      <c r="O125" s="4">
        <v>46356</v>
      </c>
      <c r="P125" t="s">
        <v>11</v>
      </c>
      <c r="Q125" t="s">
        <v>2</v>
      </c>
      <c r="R125" t="s">
        <v>12</v>
      </c>
      <c r="S125" s="4">
        <v>46227</v>
      </c>
      <c r="T125" t="s">
        <v>13</v>
      </c>
      <c r="U125" t="s">
        <v>2</v>
      </c>
      <c r="V125" t="s">
        <v>14</v>
      </c>
      <c r="W125" t="s">
        <v>15</v>
      </c>
      <c r="X125" t="s">
        <v>16</v>
      </c>
      <c r="Y125" t="s">
        <v>17</v>
      </c>
      <c r="Z125" t="s">
        <v>17</v>
      </c>
      <c r="AA125" t="s">
        <v>18</v>
      </c>
      <c r="AB125" t="s">
        <v>19</v>
      </c>
      <c r="AC125" t="s">
        <v>140</v>
      </c>
      <c r="AD125" t="s">
        <v>84</v>
      </c>
      <c r="AE125" t="s">
        <v>21</v>
      </c>
      <c r="AF125" s="5">
        <v>32.1</v>
      </c>
      <c r="AG125" s="2">
        <v>545.70000000000005</v>
      </c>
      <c r="AH125" t="s">
        <v>22</v>
      </c>
      <c r="AI125" s="4">
        <v>46356</v>
      </c>
      <c r="AJ125" s="4">
        <v>46359</v>
      </c>
      <c r="AK125" s="4">
        <v>46227</v>
      </c>
      <c r="AL125" t="s">
        <v>2</v>
      </c>
      <c r="AM125" t="s">
        <v>2</v>
      </c>
      <c r="AN125" t="s">
        <v>23</v>
      </c>
    </row>
    <row r="126" spans="1:40" x14ac:dyDescent="0.25">
      <c r="A126" t="s">
        <v>0</v>
      </c>
      <c r="B126" t="s">
        <v>1</v>
      </c>
      <c r="C126" t="s">
        <v>2</v>
      </c>
      <c r="D126" t="s">
        <v>186</v>
      </c>
      <c r="E126" t="s">
        <v>4</v>
      </c>
      <c r="F126" t="s">
        <v>193</v>
      </c>
      <c r="G126" t="s">
        <v>6</v>
      </c>
      <c r="H126" t="str">
        <f t="shared" si="1"/>
        <v>PXBHZ-H65077LZZ</v>
      </c>
      <c r="I126" t="s">
        <v>196</v>
      </c>
      <c r="J126" t="s">
        <v>91</v>
      </c>
      <c r="K126" t="s">
        <v>92</v>
      </c>
      <c r="L126" s="2">
        <v>32.1</v>
      </c>
      <c r="M126" s="3">
        <v>8</v>
      </c>
      <c r="N126" t="s">
        <v>95</v>
      </c>
      <c r="O126" s="4">
        <v>46356</v>
      </c>
      <c r="P126" t="s">
        <v>11</v>
      </c>
      <c r="Q126" t="s">
        <v>2</v>
      </c>
      <c r="R126" t="s">
        <v>12</v>
      </c>
      <c r="S126" s="4">
        <v>46227</v>
      </c>
      <c r="T126" t="s">
        <v>13</v>
      </c>
      <c r="U126" t="s">
        <v>2</v>
      </c>
      <c r="V126" t="s">
        <v>14</v>
      </c>
      <c r="W126" t="s">
        <v>15</v>
      </c>
      <c r="X126" t="s">
        <v>16</v>
      </c>
      <c r="Y126" t="s">
        <v>17</v>
      </c>
      <c r="Z126" t="s">
        <v>17</v>
      </c>
      <c r="AA126" t="s">
        <v>18</v>
      </c>
      <c r="AB126" t="s">
        <v>19</v>
      </c>
      <c r="AC126" t="s">
        <v>96</v>
      </c>
      <c r="AD126" t="s">
        <v>143</v>
      </c>
      <c r="AE126" t="s">
        <v>21</v>
      </c>
      <c r="AF126" s="5">
        <v>32.1</v>
      </c>
      <c r="AG126" s="2">
        <v>256.8</v>
      </c>
      <c r="AH126" t="s">
        <v>22</v>
      </c>
      <c r="AI126" s="4">
        <v>46356</v>
      </c>
      <c r="AJ126" s="4">
        <v>46359</v>
      </c>
      <c r="AK126" s="4">
        <v>46227</v>
      </c>
      <c r="AL126" t="s">
        <v>2</v>
      </c>
      <c r="AM126" t="s">
        <v>2</v>
      </c>
      <c r="AN126" t="s">
        <v>23</v>
      </c>
    </row>
    <row r="127" spans="1:40" x14ac:dyDescent="0.25">
      <c r="A127" t="s">
        <v>0</v>
      </c>
      <c r="B127" t="s">
        <v>1</v>
      </c>
      <c r="C127" t="s">
        <v>2</v>
      </c>
      <c r="D127" t="s">
        <v>186</v>
      </c>
      <c r="E127" t="s">
        <v>4</v>
      </c>
      <c r="F127" t="s">
        <v>193</v>
      </c>
      <c r="G127" t="s">
        <v>6</v>
      </c>
      <c r="H127" t="str">
        <f t="shared" si="1"/>
        <v>PXBHZ-H65077CAE</v>
      </c>
      <c r="I127" t="s">
        <v>196</v>
      </c>
      <c r="J127" t="s">
        <v>91</v>
      </c>
      <c r="K127" t="s">
        <v>92</v>
      </c>
      <c r="L127" s="2">
        <v>32.1</v>
      </c>
      <c r="M127" s="3">
        <v>6</v>
      </c>
      <c r="N127" t="s">
        <v>197</v>
      </c>
      <c r="O127" s="4">
        <v>46356</v>
      </c>
      <c r="P127" t="s">
        <v>11</v>
      </c>
      <c r="Q127" t="s">
        <v>2</v>
      </c>
      <c r="R127" t="s">
        <v>12</v>
      </c>
      <c r="S127" s="4">
        <v>46227</v>
      </c>
      <c r="T127" t="s">
        <v>13</v>
      </c>
      <c r="U127" t="s">
        <v>2</v>
      </c>
      <c r="V127" t="s">
        <v>14</v>
      </c>
      <c r="W127" t="s">
        <v>15</v>
      </c>
      <c r="X127" t="s">
        <v>16</v>
      </c>
      <c r="Y127" t="s">
        <v>17</v>
      </c>
      <c r="Z127" t="s">
        <v>17</v>
      </c>
      <c r="AA127" t="s">
        <v>18</v>
      </c>
      <c r="AB127" t="s">
        <v>19</v>
      </c>
      <c r="AC127" t="s">
        <v>96</v>
      </c>
      <c r="AD127" t="s">
        <v>34</v>
      </c>
      <c r="AE127" t="s">
        <v>21</v>
      </c>
      <c r="AF127" s="5">
        <v>32.1</v>
      </c>
      <c r="AG127" s="2">
        <v>192.6</v>
      </c>
      <c r="AH127" t="s">
        <v>22</v>
      </c>
      <c r="AI127" s="4">
        <v>46356</v>
      </c>
      <c r="AJ127" s="4">
        <v>46359</v>
      </c>
      <c r="AK127" s="4">
        <v>46227</v>
      </c>
      <c r="AL127" t="s">
        <v>2</v>
      </c>
      <c r="AM127" t="s">
        <v>2</v>
      </c>
      <c r="AN127" t="s">
        <v>23</v>
      </c>
    </row>
    <row r="128" spans="1:40" x14ac:dyDescent="0.25">
      <c r="A128" t="s">
        <v>0</v>
      </c>
      <c r="B128" t="s">
        <v>1</v>
      </c>
      <c r="C128" t="s">
        <v>2</v>
      </c>
      <c r="D128" t="s">
        <v>186</v>
      </c>
      <c r="E128" t="s">
        <v>4</v>
      </c>
      <c r="F128" t="s">
        <v>193</v>
      </c>
      <c r="G128" t="s">
        <v>6</v>
      </c>
      <c r="H128" t="str">
        <f t="shared" si="1"/>
        <v>PXCBC-F63033LZZ</v>
      </c>
      <c r="I128" t="s">
        <v>198</v>
      </c>
      <c r="J128" t="s">
        <v>98</v>
      </c>
      <c r="K128" t="s">
        <v>99</v>
      </c>
      <c r="L128" s="2">
        <v>29.25</v>
      </c>
      <c r="M128" s="3">
        <v>41</v>
      </c>
      <c r="N128" t="s">
        <v>27</v>
      </c>
      <c r="O128" s="4">
        <v>46356</v>
      </c>
      <c r="P128" t="s">
        <v>11</v>
      </c>
      <c r="Q128" t="s">
        <v>2</v>
      </c>
      <c r="R128" t="s">
        <v>12</v>
      </c>
      <c r="S128" s="4">
        <v>46227</v>
      </c>
      <c r="T128" t="s">
        <v>13</v>
      </c>
      <c r="U128" t="s">
        <v>2</v>
      </c>
      <c r="V128" t="s">
        <v>14</v>
      </c>
      <c r="W128" t="s">
        <v>15</v>
      </c>
      <c r="X128" t="s">
        <v>16</v>
      </c>
      <c r="Y128" t="s">
        <v>17</v>
      </c>
      <c r="Z128" t="s">
        <v>17</v>
      </c>
      <c r="AA128" t="s">
        <v>18</v>
      </c>
      <c r="AB128" t="s">
        <v>19</v>
      </c>
      <c r="AC128" t="s">
        <v>20</v>
      </c>
      <c r="AD128" t="s">
        <v>12</v>
      </c>
      <c r="AE128" t="s">
        <v>21</v>
      </c>
      <c r="AF128" s="5">
        <v>29.25</v>
      </c>
      <c r="AG128" s="2">
        <v>1199.25</v>
      </c>
      <c r="AH128" t="s">
        <v>22</v>
      </c>
      <c r="AI128" s="4">
        <v>46356</v>
      </c>
      <c r="AJ128" s="4">
        <v>46359</v>
      </c>
      <c r="AK128" s="4">
        <v>46227</v>
      </c>
      <c r="AL128" t="s">
        <v>2</v>
      </c>
      <c r="AM128" t="s">
        <v>2</v>
      </c>
      <c r="AN128" t="s">
        <v>23</v>
      </c>
    </row>
    <row r="129" spans="1:40" x14ac:dyDescent="0.25">
      <c r="A129" t="s">
        <v>0</v>
      </c>
      <c r="B129" t="s">
        <v>1</v>
      </c>
      <c r="C129" t="s">
        <v>2</v>
      </c>
      <c r="D129" t="s">
        <v>186</v>
      </c>
      <c r="E129" t="s">
        <v>4</v>
      </c>
      <c r="F129" t="s">
        <v>193</v>
      </c>
      <c r="G129" t="s">
        <v>6</v>
      </c>
      <c r="H129" t="str">
        <f t="shared" si="1"/>
        <v>PXCBC-F63037DAB</v>
      </c>
      <c r="I129" t="s">
        <v>199</v>
      </c>
      <c r="J129" t="s">
        <v>101</v>
      </c>
      <c r="K129" t="s">
        <v>102</v>
      </c>
      <c r="L129" s="2">
        <v>38.75</v>
      </c>
      <c r="M129" s="3">
        <v>41</v>
      </c>
      <c r="N129" t="s">
        <v>45</v>
      </c>
      <c r="O129" s="4">
        <v>46356</v>
      </c>
      <c r="P129" t="s">
        <v>11</v>
      </c>
      <c r="Q129" t="s">
        <v>2</v>
      </c>
      <c r="R129" t="s">
        <v>12</v>
      </c>
      <c r="S129" s="4">
        <v>46227</v>
      </c>
      <c r="T129" t="s">
        <v>13</v>
      </c>
      <c r="U129" t="s">
        <v>2</v>
      </c>
      <c r="V129" t="s">
        <v>14</v>
      </c>
      <c r="W129" t="s">
        <v>15</v>
      </c>
      <c r="X129" t="s">
        <v>16</v>
      </c>
      <c r="Y129" t="s">
        <v>17</v>
      </c>
      <c r="Z129" t="s">
        <v>17</v>
      </c>
      <c r="AA129" t="s">
        <v>18</v>
      </c>
      <c r="AB129" t="s">
        <v>19</v>
      </c>
      <c r="AC129" t="s">
        <v>20</v>
      </c>
      <c r="AD129" t="s">
        <v>12</v>
      </c>
      <c r="AE129" t="s">
        <v>21</v>
      </c>
      <c r="AF129" s="5">
        <v>38.75</v>
      </c>
      <c r="AG129" s="2">
        <v>1588.75</v>
      </c>
      <c r="AH129" t="s">
        <v>22</v>
      </c>
      <c r="AI129" s="4">
        <v>46356</v>
      </c>
      <c r="AJ129" s="4">
        <v>46359</v>
      </c>
      <c r="AK129" s="4">
        <v>46227</v>
      </c>
      <c r="AL129" t="s">
        <v>2</v>
      </c>
      <c r="AM129" t="s">
        <v>2</v>
      </c>
      <c r="AN129" t="s">
        <v>23</v>
      </c>
    </row>
    <row r="130" spans="1:40" x14ac:dyDescent="0.25">
      <c r="A130" t="s">
        <v>0</v>
      </c>
      <c r="B130" t="s">
        <v>1</v>
      </c>
      <c r="C130" t="s">
        <v>2</v>
      </c>
      <c r="D130" t="s">
        <v>186</v>
      </c>
      <c r="E130" t="s">
        <v>4</v>
      </c>
      <c r="F130" t="s">
        <v>193</v>
      </c>
      <c r="G130" t="s">
        <v>6</v>
      </c>
      <c r="H130" t="str">
        <f t="shared" si="1"/>
        <v>PXCBC-H63044LZZ</v>
      </c>
      <c r="I130" t="s">
        <v>200</v>
      </c>
      <c r="J130" t="s">
        <v>124</v>
      </c>
      <c r="K130" t="s">
        <v>102</v>
      </c>
      <c r="L130" s="2">
        <v>38.75</v>
      </c>
      <c r="M130" s="3">
        <v>45</v>
      </c>
      <c r="N130" t="s">
        <v>27</v>
      </c>
      <c r="O130" s="4">
        <v>46356</v>
      </c>
      <c r="P130" t="s">
        <v>11</v>
      </c>
      <c r="Q130" t="s">
        <v>2</v>
      </c>
      <c r="R130" t="s">
        <v>12</v>
      </c>
      <c r="S130" s="4">
        <v>46227</v>
      </c>
      <c r="T130" t="s">
        <v>13</v>
      </c>
      <c r="U130" t="s">
        <v>2</v>
      </c>
      <c r="V130" t="s">
        <v>14</v>
      </c>
      <c r="W130" t="s">
        <v>15</v>
      </c>
      <c r="X130" t="s">
        <v>16</v>
      </c>
      <c r="Y130" t="s">
        <v>17</v>
      </c>
      <c r="Z130" t="s">
        <v>17</v>
      </c>
      <c r="AA130" t="s">
        <v>18</v>
      </c>
      <c r="AB130" t="s">
        <v>19</v>
      </c>
      <c r="AC130" t="s">
        <v>20</v>
      </c>
      <c r="AD130" t="s">
        <v>34</v>
      </c>
      <c r="AE130" t="s">
        <v>21</v>
      </c>
      <c r="AF130" s="5">
        <v>38.75</v>
      </c>
      <c r="AG130" s="2">
        <v>1743.75</v>
      </c>
      <c r="AH130" t="s">
        <v>22</v>
      </c>
      <c r="AI130" s="4">
        <v>46356</v>
      </c>
      <c r="AJ130" s="4">
        <v>46359</v>
      </c>
      <c r="AK130" s="4">
        <v>46227</v>
      </c>
      <c r="AL130" t="s">
        <v>2</v>
      </c>
      <c r="AM130" t="s">
        <v>2</v>
      </c>
      <c r="AN130" t="s">
        <v>23</v>
      </c>
    </row>
    <row r="131" spans="1:40" x14ac:dyDescent="0.25">
      <c r="A131" t="s">
        <v>0</v>
      </c>
      <c r="B131" t="s">
        <v>1</v>
      </c>
      <c r="C131" t="s">
        <v>2</v>
      </c>
      <c r="D131" t="s">
        <v>186</v>
      </c>
      <c r="E131" t="s">
        <v>4</v>
      </c>
      <c r="F131" t="s">
        <v>193</v>
      </c>
      <c r="G131" t="s">
        <v>6</v>
      </c>
      <c r="H131" t="str">
        <f t="shared" ref="H131:H163" si="2">J131&amp;LEFT(N131,3)</f>
        <v>PXCBC-H63044IBC</v>
      </c>
      <c r="I131" t="s">
        <v>200</v>
      </c>
      <c r="J131" t="s">
        <v>124</v>
      </c>
      <c r="K131" t="s">
        <v>102</v>
      </c>
      <c r="L131" s="2">
        <v>38.75</v>
      </c>
      <c r="M131" s="3">
        <v>44</v>
      </c>
      <c r="N131" t="s">
        <v>55</v>
      </c>
      <c r="O131" s="4">
        <v>46356</v>
      </c>
      <c r="P131" t="s">
        <v>11</v>
      </c>
      <c r="Q131" t="s">
        <v>2</v>
      </c>
      <c r="R131" t="s">
        <v>12</v>
      </c>
      <c r="S131" s="4">
        <v>46227</v>
      </c>
      <c r="T131" t="s">
        <v>13</v>
      </c>
      <c r="U131" t="s">
        <v>2</v>
      </c>
      <c r="V131" t="s">
        <v>14</v>
      </c>
      <c r="W131" t="s">
        <v>15</v>
      </c>
      <c r="X131" t="s">
        <v>16</v>
      </c>
      <c r="Y131" t="s">
        <v>17</v>
      </c>
      <c r="Z131" t="s">
        <v>17</v>
      </c>
      <c r="AA131" t="s">
        <v>18</v>
      </c>
      <c r="AB131" t="s">
        <v>19</v>
      </c>
      <c r="AC131" t="s">
        <v>20</v>
      </c>
      <c r="AD131" t="s">
        <v>12</v>
      </c>
      <c r="AE131" t="s">
        <v>21</v>
      </c>
      <c r="AF131" s="5">
        <v>38.75</v>
      </c>
      <c r="AG131" s="2">
        <v>1705</v>
      </c>
      <c r="AH131" t="s">
        <v>22</v>
      </c>
      <c r="AI131" s="4">
        <v>46356</v>
      </c>
      <c r="AJ131" s="4">
        <v>46359</v>
      </c>
      <c r="AK131" s="4">
        <v>46227</v>
      </c>
      <c r="AL131" t="s">
        <v>2</v>
      </c>
      <c r="AM131" t="s">
        <v>2</v>
      </c>
      <c r="AN131" t="s">
        <v>23</v>
      </c>
    </row>
    <row r="132" spans="1:40" x14ac:dyDescent="0.25">
      <c r="A132" t="s">
        <v>0</v>
      </c>
      <c r="B132" t="s">
        <v>1</v>
      </c>
      <c r="C132" t="s">
        <v>2</v>
      </c>
      <c r="D132" t="s">
        <v>186</v>
      </c>
      <c r="E132" t="s">
        <v>4</v>
      </c>
      <c r="F132" t="s">
        <v>193</v>
      </c>
      <c r="G132" t="s">
        <v>6</v>
      </c>
      <c r="H132" t="str">
        <f t="shared" si="2"/>
        <v>PXCBC-H65077LZZ</v>
      </c>
      <c r="I132" t="s">
        <v>201</v>
      </c>
      <c r="J132" t="s">
        <v>154</v>
      </c>
      <c r="K132" t="s">
        <v>92</v>
      </c>
      <c r="L132" s="2">
        <v>27.9</v>
      </c>
      <c r="M132" s="3">
        <v>3</v>
      </c>
      <c r="N132" t="s">
        <v>93</v>
      </c>
      <c r="O132" s="4">
        <v>46356</v>
      </c>
      <c r="P132" t="s">
        <v>11</v>
      </c>
      <c r="Q132" t="s">
        <v>2</v>
      </c>
      <c r="R132" t="s">
        <v>12</v>
      </c>
      <c r="S132" s="4">
        <v>46227</v>
      </c>
      <c r="T132" t="s">
        <v>13</v>
      </c>
      <c r="U132" t="s">
        <v>2</v>
      </c>
      <c r="V132" t="s">
        <v>14</v>
      </c>
      <c r="W132" t="s">
        <v>15</v>
      </c>
      <c r="X132" t="s">
        <v>16</v>
      </c>
      <c r="Y132" t="s">
        <v>17</v>
      </c>
      <c r="Z132" t="s">
        <v>17</v>
      </c>
      <c r="AA132" t="s">
        <v>18</v>
      </c>
      <c r="AB132" t="s">
        <v>19</v>
      </c>
      <c r="AC132" t="s">
        <v>94</v>
      </c>
      <c r="AD132" t="s">
        <v>12</v>
      </c>
      <c r="AE132" t="s">
        <v>21</v>
      </c>
      <c r="AF132" s="5">
        <v>27.9</v>
      </c>
      <c r="AG132" s="2">
        <v>83.7</v>
      </c>
      <c r="AH132" t="s">
        <v>22</v>
      </c>
      <c r="AI132" s="4">
        <v>46356</v>
      </c>
      <c r="AJ132" s="4">
        <v>46359</v>
      </c>
      <c r="AK132" s="4">
        <v>46227</v>
      </c>
      <c r="AL132" t="s">
        <v>2</v>
      </c>
      <c r="AM132" t="s">
        <v>2</v>
      </c>
      <c r="AN132" t="s">
        <v>23</v>
      </c>
    </row>
    <row r="133" spans="1:40" x14ac:dyDescent="0.25">
      <c r="A133" t="s">
        <v>0</v>
      </c>
      <c r="B133" t="s">
        <v>1</v>
      </c>
      <c r="C133" t="s">
        <v>2</v>
      </c>
      <c r="D133" t="s">
        <v>186</v>
      </c>
      <c r="E133" t="s">
        <v>4</v>
      </c>
      <c r="F133" t="s">
        <v>193</v>
      </c>
      <c r="G133" t="s">
        <v>6</v>
      </c>
      <c r="H133" t="str">
        <f t="shared" si="2"/>
        <v>PXCBC-H65077LZZ</v>
      </c>
      <c r="I133" t="s">
        <v>201</v>
      </c>
      <c r="J133" t="s">
        <v>154</v>
      </c>
      <c r="K133" t="s">
        <v>92</v>
      </c>
      <c r="L133" s="2">
        <v>27.9</v>
      </c>
      <c r="M133" s="3">
        <v>2</v>
      </c>
      <c r="N133" t="s">
        <v>144</v>
      </c>
      <c r="O133" s="4">
        <v>46356</v>
      </c>
      <c r="P133" t="s">
        <v>11</v>
      </c>
      <c r="Q133" t="s">
        <v>2</v>
      </c>
      <c r="R133" t="s">
        <v>12</v>
      </c>
      <c r="S133" s="4">
        <v>46227</v>
      </c>
      <c r="T133" t="s">
        <v>13</v>
      </c>
      <c r="U133" t="s">
        <v>2</v>
      </c>
      <c r="V133" t="s">
        <v>14</v>
      </c>
      <c r="W133" t="s">
        <v>15</v>
      </c>
      <c r="X133" t="s">
        <v>16</v>
      </c>
      <c r="Y133" t="s">
        <v>17</v>
      </c>
      <c r="Z133" t="s">
        <v>17</v>
      </c>
      <c r="AA133" t="s">
        <v>18</v>
      </c>
      <c r="AB133" t="s">
        <v>19</v>
      </c>
      <c r="AC133" t="s">
        <v>140</v>
      </c>
      <c r="AD133" t="s">
        <v>34</v>
      </c>
      <c r="AE133" t="s">
        <v>21</v>
      </c>
      <c r="AF133" s="5">
        <v>27.9</v>
      </c>
      <c r="AG133" s="2">
        <v>55.8</v>
      </c>
      <c r="AH133" t="s">
        <v>22</v>
      </c>
      <c r="AI133" s="4">
        <v>46356</v>
      </c>
      <c r="AJ133" s="4">
        <v>46359</v>
      </c>
      <c r="AK133" s="4">
        <v>46227</v>
      </c>
      <c r="AL133" t="s">
        <v>2</v>
      </c>
      <c r="AM133" t="s">
        <v>2</v>
      </c>
      <c r="AN133" t="s">
        <v>23</v>
      </c>
    </row>
    <row r="134" spans="1:40" x14ac:dyDescent="0.25">
      <c r="A134" t="s">
        <v>0</v>
      </c>
      <c r="B134" t="s">
        <v>1</v>
      </c>
      <c r="C134" t="s">
        <v>2</v>
      </c>
      <c r="D134" t="s">
        <v>186</v>
      </c>
      <c r="E134" t="s">
        <v>4</v>
      </c>
      <c r="F134" t="s">
        <v>193</v>
      </c>
      <c r="G134" t="s">
        <v>6</v>
      </c>
      <c r="H134" t="str">
        <f t="shared" si="2"/>
        <v>PXCBC-H65077LZZ</v>
      </c>
      <c r="I134" t="s">
        <v>201</v>
      </c>
      <c r="J134" t="s">
        <v>154</v>
      </c>
      <c r="K134" t="s">
        <v>92</v>
      </c>
      <c r="L134" s="2">
        <v>27.9</v>
      </c>
      <c r="M134" s="3">
        <v>1</v>
      </c>
      <c r="N134" t="s">
        <v>146</v>
      </c>
      <c r="O134" s="4">
        <v>46356</v>
      </c>
      <c r="P134" t="s">
        <v>11</v>
      </c>
      <c r="Q134" t="s">
        <v>2</v>
      </c>
      <c r="R134" t="s">
        <v>12</v>
      </c>
      <c r="S134" s="4">
        <v>46227</v>
      </c>
      <c r="T134" t="s">
        <v>13</v>
      </c>
      <c r="U134" t="s">
        <v>2</v>
      </c>
      <c r="V134" t="s">
        <v>14</v>
      </c>
      <c r="W134" t="s">
        <v>15</v>
      </c>
      <c r="X134" t="s">
        <v>16</v>
      </c>
      <c r="Y134" t="s">
        <v>17</v>
      </c>
      <c r="Z134" t="s">
        <v>17</v>
      </c>
      <c r="AA134" t="s">
        <v>18</v>
      </c>
      <c r="AB134" t="s">
        <v>19</v>
      </c>
      <c r="AC134" t="s">
        <v>147</v>
      </c>
      <c r="AD134" t="s">
        <v>84</v>
      </c>
      <c r="AE134" t="s">
        <v>21</v>
      </c>
      <c r="AF134" s="5">
        <v>27.9</v>
      </c>
      <c r="AG134" s="2">
        <v>27.9</v>
      </c>
      <c r="AH134" t="s">
        <v>22</v>
      </c>
      <c r="AI134" s="4">
        <v>46356</v>
      </c>
      <c r="AJ134" s="4">
        <v>46359</v>
      </c>
      <c r="AK134" s="4">
        <v>46227</v>
      </c>
      <c r="AL134" t="s">
        <v>2</v>
      </c>
      <c r="AM134" t="s">
        <v>2</v>
      </c>
      <c r="AN134" t="s">
        <v>23</v>
      </c>
    </row>
    <row r="135" spans="1:40" x14ac:dyDescent="0.25">
      <c r="A135" t="s">
        <v>0</v>
      </c>
      <c r="B135" t="s">
        <v>1</v>
      </c>
      <c r="C135" t="s">
        <v>2</v>
      </c>
      <c r="D135" t="s">
        <v>186</v>
      </c>
      <c r="E135" t="s">
        <v>4</v>
      </c>
      <c r="F135" t="s">
        <v>193</v>
      </c>
      <c r="G135" t="s">
        <v>6</v>
      </c>
      <c r="H135" t="str">
        <f t="shared" si="2"/>
        <v>PXCBC-H65077LZZ</v>
      </c>
      <c r="I135" t="s">
        <v>201</v>
      </c>
      <c r="J135" t="s">
        <v>154</v>
      </c>
      <c r="K135" t="s">
        <v>92</v>
      </c>
      <c r="L135" s="2">
        <v>27.9</v>
      </c>
      <c r="M135" s="3">
        <v>2</v>
      </c>
      <c r="N135" t="s">
        <v>95</v>
      </c>
      <c r="O135" s="4">
        <v>46356</v>
      </c>
      <c r="P135" t="s">
        <v>11</v>
      </c>
      <c r="Q135" t="s">
        <v>2</v>
      </c>
      <c r="R135" t="s">
        <v>12</v>
      </c>
      <c r="S135" s="4">
        <v>46227</v>
      </c>
      <c r="T135" t="s">
        <v>13</v>
      </c>
      <c r="U135" t="s">
        <v>2</v>
      </c>
      <c r="V135" t="s">
        <v>14</v>
      </c>
      <c r="W135" t="s">
        <v>15</v>
      </c>
      <c r="X135" t="s">
        <v>16</v>
      </c>
      <c r="Y135" t="s">
        <v>17</v>
      </c>
      <c r="Z135" t="s">
        <v>17</v>
      </c>
      <c r="AA135" t="s">
        <v>18</v>
      </c>
      <c r="AB135" t="s">
        <v>19</v>
      </c>
      <c r="AC135" t="s">
        <v>96</v>
      </c>
      <c r="AD135" t="s">
        <v>88</v>
      </c>
      <c r="AE135" t="s">
        <v>21</v>
      </c>
      <c r="AF135" s="5">
        <v>27.9</v>
      </c>
      <c r="AG135" s="2">
        <v>55.8</v>
      </c>
      <c r="AH135" t="s">
        <v>22</v>
      </c>
      <c r="AI135" s="4">
        <v>46356</v>
      </c>
      <c r="AJ135" s="4">
        <v>46359</v>
      </c>
      <c r="AK135" s="4">
        <v>46227</v>
      </c>
      <c r="AL135" t="s">
        <v>2</v>
      </c>
      <c r="AM135" t="s">
        <v>2</v>
      </c>
      <c r="AN135" t="s">
        <v>23</v>
      </c>
    </row>
    <row r="136" spans="1:40" x14ac:dyDescent="0.25">
      <c r="A136" t="s">
        <v>0</v>
      </c>
      <c r="B136" t="s">
        <v>1</v>
      </c>
      <c r="C136" t="s">
        <v>2</v>
      </c>
      <c r="D136" t="s">
        <v>186</v>
      </c>
      <c r="E136" t="s">
        <v>4</v>
      </c>
      <c r="F136" t="s">
        <v>193</v>
      </c>
      <c r="G136" t="s">
        <v>6</v>
      </c>
      <c r="H136" t="str">
        <f t="shared" si="2"/>
        <v>PXCBC-M67115LZZ</v>
      </c>
      <c r="I136" t="s">
        <v>202</v>
      </c>
      <c r="J136" t="s">
        <v>53</v>
      </c>
      <c r="K136" t="s">
        <v>54</v>
      </c>
      <c r="L136" s="2">
        <v>86</v>
      </c>
      <c r="M136" s="3">
        <v>70</v>
      </c>
      <c r="N136" t="s">
        <v>27</v>
      </c>
      <c r="O136" s="4">
        <v>46356</v>
      </c>
      <c r="P136" t="s">
        <v>11</v>
      </c>
      <c r="Q136" t="s">
        <v>2</v>
      </c>
      <c r="R136" t="s">
        <v>12</v>
      </c>
      <c r="S136" s="4">
        <v>46227</v>
      </c>
      <c r="T136" t="s">
        <v>13</v>
      </c>
      <c r="U136" t="s">
        <v>2</v>
      </c>
      <c r="V136" t="s">
        <v>14</v>
      </c>
      <c r="W136" t="s">
        <v>15</v>
      </c>
      <c r="X136" t="s">
        <v>16</v>
      </c>
      <c r="Y136" t="s">
        <v>17</v>
      </c>
      <c r="Z136" t="s">
        <v>17</v>
      </c>
      <c r="AA136" t="s">
        <v>18</v>
      </c>
      <c r="AB136" t="s">
        <v>19</v>
      </c>
      <c r="AC136" t="s">
        <v>20</v>
      </c>
      <c r="AD136" t="s">
        <v>12</v>
      </c>
      <c r="AE136" t="s">
        <v>21</v>
      </c>
      <c r="AF136" s="5">
        <v>86</v>
      </c>
      <c r="AG136" s="2">
        <v>6020</v>
      </c>
      <c r="AH136" t="s">
        <v>22</v>
      </c>
      <c r="AI136" s="4">
        <v>46356</v>
      </c>
      <c r="AJ136" s="4">
        <v>46359</v>
      </c>
      <c r="AK136" s="4">
        <v>46227</v>
      </c>
      <c r="AL136" t="s">
        <v>2</v>
      </c>
      <c r="AM136" t="s">
        <v>2</v>
      </c>
      <c r="AN136" t="s">
        <v>23</v>
      </c>
    </row>
    <row r="137" spans="1:40" x14ac:dyDescent="0.25">
      <c r="A137" t="s">
        <v>0</v>
      </c>
      <c r="B137" t="s">
        <v>1</v>
      </c>
      <c r="C137" t="s">
        <v>2</v>
      </c>
      <c r="D137" t="s">
        <v>186</v>
      </c>
      <c r="E137" t="s">
        <v>4</v>
      </c>
      <c r="F137" t="s">
        <v>193</v>
      </c>
      <c r="G137" t="s">
        <v>6</v>
      </c>
      <c r="H137" t="str">
        <f t="shared" si="2"/>
        <v>PXCBC-M67115IBC</v>
      </c>
      <c r="I137" t="s">
        <v>202</v>
      </c>
      <c r="J137" t="s">
        <v>53</v>
      </c>
      <c r="K137" t="s">
        <v>54</v>
      </c>
      <c r="L137" s="2">
        <v>86</v>
      </c>
      <c r="M137" s="3">
        <v>29</v>
      </c>
      <c r="N137" t="s">
        <v>55</v>
      </c>
      <c r="O137" s="4">
        <v>46356</v>
      </c>
      <c r="P137" t="s">
        <v>11</v>
      </c>
      <c r="Q137" t="s">
        <v>2</v>
      </c>
      <c r="R137" t="s">
        <v>12</v>
      </c>
      <c r="S137" s="4">
        <v>46227</v>
      </c>
      <c r="T137" t="s">
        <v>13</v>
      </c>
      <c r="U137" t="s">
        <v>2</v>
      </c>
      <c r="V137" t="s">
        <v>14</v>
      </c>
      <c r="W137" t="s">
        <v>15</v>
      </c>
      <c r="X137" t="s">
        <v>16</v>
      </c>
      <c r="Y137" t="s">
        <v>17</v>
      </c>
      <c r="Z137" t="s">
        <v>17</v>
      </c>
      <c r="AA137" t="s">
        <v>18</v>
      </c>
      <c r="AB137" t="s">
        <v>19</v>
      </c>
      <c r="AC137" t="s">
        <v>20</v>
      </c>
      <c r="AD137" t="s">
        <v>34</v>
      </c>
      <c r="AE137" t="s">
        <v>21</v>
      </c>
      <c r="AF137" s="5">
        <v>86</v>
      </c>
      <c r="AG137" s="2">
        <v>2494</v>
      </c>
      <c r="AH137" t="s">
        <v>22</v>
      </c>
      <c r="AI137" s="4">
        <v>46356</v>
      </c>
      <c r="AJ137" s="4">
        <v>46359</v>
      </c>
      <c r="AK137" s="4">
        <v>46227</v>
      </c>
      <c r="AL137" t="s">
        <v>2</v>
      </c>
      <c r="AM137" t="s">
        <v>2</v>
      </c>
      <c r="AN137" t="s">
        <v>23</v>
      </c>
    </row>
    <row r="138" spans="1:40" x14ac:dyDescent="0.25">
      <c r="A138" t="s">
        <v>0</v>
      </c>
      <c r="B138" t="s">
        <v>1</v>
      </c>
      <c r="C138" t="s">
        <v>2</v>
      </c>
      <c r="D138" t="s">
        <v>186</v>
      </c>
      <c r="E138" t="s">
        <v>4</v>
      </c>
      <c r="F138" t="s">
        <v>193</v>
      </c>
      <c r="G138" t="s">
        <v>6</v>
      </c>
      <c r="H138" t="str">
        <f t="shared" si="2"/>
        <v>PXCBS-F63037LZZ</v>
      </c>
      <c r="I138" t="s">
        <v>203</v>
      </c>
      <c r="J138" t="s">
        <v>204</v>
      </c>
      <c r="K138" t="s">
        <v>102</v>
      </c>
      <c r="L138" s="2">
        <v>1</v>
      </c>
      <c r="M138" s="3">
        <v>65</v>
      </c>
      <c r="N138" t="s">
        <v>27</v>
      </c>
      <c r="O138" s="4">
        <v>46356</v>
      </c>
      <c r="P138" t="s">
        <v>11</v>
      </c>
      <c r="Q138" t="s">
        <v>2</v>
      </c>
      <c r="R138" t="s">
        <v>12</v>
      </c>
      <c r="S138" s="4">
        <v>46227</v>
      </c>
      <c r="T138" t="s">
        <v>13</v>
      </c>
      <c r="U138" t="s">
        <v>2</v>
      </c>
      <c r="V138" t="s">
        <v>14</v>
      </c>
      <c r="W138" t="s">
        <v>15</v>
      </c>
      <c r="X138" t="s">
        <v>16</v>
      </c>
      <c r="Y138" t="s">
        <v>17</v>
      </c>
      <c r="Z138" t="s">
        <v>17</v>
      </c>
      <c r="AA138" t="s">
        <v>18</v>
      </c>
      <c r="AB138" t="s">
        <v>19</v>
      </c>
      <c r="AC138" t="s">
        <v>20</v>
      </c>
      <c r="AD138" t="s">
        <v>12</v>
      </c>
      <c r="AE138" t="s">
        <v>21</v>
      </c>
      <c r="AF138" s="5">
        <v>1</v>
      </c>
      <c r="AG138" s="2">
        <v>65</v>
      </c>
      <c r="AH138" t="s">
        <v>22</v>
      </c>
      <c r="AI138" s="4">
        <v>46356</v>
      </c>
      <c r="AJ138" s="4">
        <v>46359</v>
      </c>
      <c r="AK138" s="4">
        <v>46227</v>
      </c>
      <c r="AL138" t="s">
        <v>2</v>
      </c>
      <c r="AM138" t="s">
        <v>2</v>
      </c>
      <c r="AN138" t="s">
        <v>23</v>
      </c>
    </row>
    <row r="139" spans="1:40" x14ac:dyDescent="0.25">
      <c r="A139" t="s">
        <v>0</v>
      </c>
      <c r="B139" t="s">
        <v>1</v>
      </c>
      <c r="C139" t="s">
        <v>2</v>
      </c>
      <c r="D139" t="s">
        <v>186</v>
      </c>
      <c r="E139" t="s">
        <v>4</v>
      </c>
      <c r="F139" t="s">
        <v>193</v>
      </c>
      <c r="G139" t="s">
        <v>6</v>
      </c>
      <c r="H139" t="str">
        <f t="shared" si="2"/>
        <v>PXCEU-F67008KBG</v>
      </c>
      <c r="I139" t="s">
        <v>205</v>
      </c>
      <c r="J139" t="s">
        <v>126</v>
      </c>
      <c r="K139" t="s">
        <v>43</v>
      </c>
      <c r="L139" s="2">
        <v>85</v>
      </c>
      <c r="M139" s="3">
        <v>63</v>
      </c>
      <c r="N139" t="s">
        <v>30</v>
      </c>
      <c r="O139" s="4">
        <v>46356</v>
      </c>
      <c r="P139" t="s">
        <v>11</v>
      </c>
      <c r="Q139" t="s">
        <v>2</v>
      </c>
      <c r="R139" t="s">
        <v>12</v>
      </c>
      <c r="S139" s="4">
        <v>46227</v>
      </c>
      <c r="T139" t="s">
        <v>13</v>
      </c>
      <c r="U139" t="s">
        <v>2</v>
      </c>
      <c r="V139" t="s">
        <v>14</v>
      </c>
      <c r="W139" t="s">
        <v>15</v>
      </c>
      <c r="X139" t="s">
        <v>16</v>
      </c>
      <c r="Y139" t="s">
        <v>17</v>
      </c>
      <c r="Z139" t="s">
        <v>17</v>
      </c>
      <c r="AA139" t="s">
        <v>18</v>
      </c>
      <c r="AB139" t="s">
        <v>19</v>
      </c>
      <c r="AC139" t="s">
        <v>20</v>
      </c>
      <c r="AD139" t="s">
        <v>12</v>
      </c>
      <c r="AE139" t="s">
        <v>21</v>
      </c>
      <c r="AF139" s="5">
        <v>85</v>
      </c>
      <c r="AG139" s="2">
        <v>5355</v>
      </c>
      <c r="AH139" t="s">
        <v>22</v>
      </c>
      <c r="AI139" s="4">
        <v>46356</v>
      </c>
      <c r="AJ139" s="4">
        <v>46359</v>
      </c>
      <c r="AK139" s="4">
        <v>46227</v>
      </c>
      <c r="AL139" t="s">
        <v>2</v>
      </c>
      <c r="AM139" t="s">
        <v>2</v>
      </c>
      <c r="AN139" t="s">
        <v>23</v>
      </c>
    </row>
    <row r="140" spans="1:40" x14ac:dyDescent="0.25">
      <c r="A140" t="s">
        <v>0</v>
      </c>
      <c r="B140" t="s">
        <v>1</v>
      </c>
      <c r="C140" t="s">
        <v>2</v>
      </c>
      <c r="D140" t="s">
        <v>186</v>
      </c>
      <c r="E140" t="s">
        <v>4</v>
      </c>
      <c r="F140" t="s">
        <v>193</v>
      </c>
      <c r="G140" t="s">
        <v>6</v>
      </c>
      <c r="H140" t="str">
        <f t="shared" si="2"/>
        <v>PXCEU-F67008FAB</v>
      </c>
      <c r="I140" t="s">
        <v>205</v>
      </c>
      <c r="J140" t="s">
        <v>126</v>
      </c>
      <c r="K140" t="s">
        <v>43</v>
      </c>
      <c r="L140" s="2">
        <v>85</v>
      </c>
      <c r="M140" s="3">
        <v>52</v>
      </c>
      <c r="N140" t="s">
        <v>10</v>
      </c>
      <c r="O140" s="4">
        <v>46356</v>
      </c>
      <c r="P140" t="s">
        <v>11</v>
      </c>
      <c r="Q140" t="s">
        <v>2</v>
      </c>
      <c r="R140" t="s">
        <v>12</v>
      </c>
      <c r="S140" s="4">
        <v>46227</v>
      </c>
      <c r="T140" t="s">
        <v>13</v>
      </c>
      <c r="U140" t="s">
        <v>2</v>
      </c>
      <c r="V140" t="s">
        <v>14</v>
      </c>
      <c r="W140" t="s">
        <v>15</v>
      </c>
      <c r="X140" t="s">
        <v>16</v>
      </c>
      <c r="Y140" t="s">
        <v>17</v>
      </c>
      <c r="Z140" t="s">
        <v>17</v>
      </c>
      <c r="AA140" t="s">
        <v>18</v>
      </c>
      <c r="AB140" t="s">
        <v>19</v>
      </c>
      <c r="AC140" t="s">
        <v>20</v>
      </c>
      <c r="AD140" t="s">
        <v>34</v>
      </c>
      <c r="AE140" t="s">
        <v>21</v>
      </c>
      <c r="AF140" s="5">
        <v>85</v>
      </c>
      <c r="AG140" s="2">
        <v>4420</v>
      </c>
      <c r="AH140" t="s">
        <v>22</v>
      </c>
      <c r="AI140" s="4">
        <v>46356</v>
      </c>
      <c r="AJ140" s="4">
        <v>46359</v>
      </c>
      <c r="AK140" s="4">
        <v>46227</v>
      </c>
      <c r="AL140" t="s">
        <v>2</v>
      </c>
      <c r="AM140" t="s">
        <v>2</v>
      </c>
      <c r="AN140" t="s">
        <v>23</v>
      </c>
    </row>
    <row r="141" spans="1:40" x14ac:dyDescent="0.25">
      <c r="A141" t="s">
        <v>0</v>
      </c>
      <c r="B141" t="s">
        <v>1</v>
      </c>
      <c r="C141" t="s">
        <v>2</v>
      </c>
      <c r="D141" t="s">
        <v>186</v>
      </c>
      <c r="E141" t="s">
        <v>4</v>
      </c>
      <c r="F141" t="s">
        <v>193</v>
      </c>
      <c r="G141" t="s">
        <v>6</v>
      </c>
      <c r="H141" t="str">
        <f t="shared" si="2"/>
        <v>PXCEU-F67043KBG</v>
      </c>
      <c r="I141" t="s">
        <v>206</v>
      </c>
      <c r="J141" t="s">
        <v>29</v>
      </c>
      <c r="K141" t="s">
        <v>26</v>
      </c>
      <c r="L141" s="2">
        <v>89.68</v>
      </c>
      <c r="M141" s="3">
        <v>32</v>
      </c>
      <c r="N141" t="s">
        <v>30</v>
      </c>
      <c r="O141" s="4">
        <v>46356</v>
      </c>
      <c r="P141" t="s">
        <v>11</v>
      </c>
      <c r="Q141" t="s">
        <v>2</v>
      </c>
      <c r="R141" t="s">
        <v>12</v>
      </c>
      <c r="S141" s="4">
        <v>46227</v>
      </c>
      <c r="T141" t="s">
        <v>13</v>
      </c>
      <c r="U141" t="s">
        <v>2</v>
      </c>
      <c r="V141" t="s">
        <v>14</v>
      </c>
      <c r="W141" t="s">
        <v>15</v>
      </c>
      <c r="X141" t="s">
        <v>16</v>
      </c>
      <c r="Y141" t="s">
        <v>17</v>
      </c>
      <c r="Z141" t="s">
        <v>17</v>
      </c>
      <c r="AA141" t="s">
        <v>18</v>
      </c>
      <c r="AB141" t="s">
        <v>19</v>
      </c>
      <c r="AC141" t="s">
        <v>20</v>
      </c>
      <c r="AD141" t="s">
        <v>34</v>
      </c>
      <c r="AE141" t="s">
        <v>21</v>
      </c>
      <c r="AF141" s="5">
        <v>89.68</v>
      </c>
      <c r="AG141" s="2">
        <v>2869.76</v>
      </c>
      <c r="AH141" t="s">
        <v>22</v>
      </c>
      <c r="AI141" s="4">
        <v>46356</v>
      </c>
      <c r="AJ141" s="4">
        <v>46359</v>
      </c>
      <c r="AK141" s="4">
        <v>46227</v>
      </c>
      <c r="AL141" t="s">
        <v>2</v>
      </c>
      <c r="AM141" t="s">
        <v>2</v>
      </c>
      <c r="AN141" t="s">
        <v>23</v>
      </c>
    </row>
    <row r="142" spans="1:40" x14ac:dyDescent="0.25">
      <c r="A142" t="s">
        <v>0</v>
      </c>
      <c r="B142" t="s">
        <v>1</v>
      </c>
      <c r="C142" t="s">
        <v>2</v>
      </c>
      <c r="D142" t="s">
        <v>186</v>
      </c>
      <c r="E142" t="s">
        <v>4</v>
      </c>
      <c r="F142" t="s">
        <v>193</v>
      </c>
      <c r="G142" t="s">
        <v>6</v>
      </c>
      <c r="H142" t="str">
        <f t="shared" si="2"/>
        <v>PXCEU-F67043FAB</v>
      </c>
      <c r="I142" t="s">
        <v>206</v>
      </c>
      <c r="J142" t="s">
        <v>29</v>
      </c>
      <c r="K142" t="s">
        <v>26</v>
      </c>
      <c r="L142" s="2">
        <v>89.68</v>
      </c>
      <c r="M142" s="3">
        <v>37</v>
      </c>
      <c r="N142" t="s">
        <v>10</v>
      </c>
      <c r="O142" s="4">
        <v>46356</v>
      </c>
      <c r="P142" t="s">
        <v>11</v>
      </c>
      <c r="Q142" t="s">
        <v>2</v>
      </c>
      <c r="R142" t="s">
        <v>12</v>
      </c>
      <c r="S142" s="4">
        <v>46227</v>
      </c>
      <c r="T142" t="s">
        <v>13</v>
      </c>
      <c r="U142" t="s">
        <v>2</v>
      </c>
      <c r="V142" t="s">
        <v>14</v>
      </c>
      <c r="W142" t="s">
        <v>15</v>
      </c>
      <c r="X142" t="s">
        <v>16</v>
      </c>
      <c r="Y142" t="s">
        <v>17</v>
      </c>
      <c r="Z142" t="s">
        <v>17</v>
      </c>
      <c r="AA142" t="s">
        <v>18</v>
      </c>
      <c r="AB142" t="s">
        <v>19</v>
      </c>
      <c r="AC142" t="s">
        <v>20</v>
      </c>
      <c r="AD142" t="s">
        <v>12</v>
      </c>
      <c r="AE142" t="s">
        <v>21</v>
      </c>
      <c r="AF142" s="5">
        <v>89.68</v>
      </c>
      <c r="AG142" s="2">
        <v>3318.16</v>
      </c>
      <c r="AH142" t="s">
        <v>22</v>
      </c>
      <c r="AI142" s="4">
        <v>46356</v>
      </c>
      <c r="AJ142" s="4">
        <v>46359</v>
      </c>
      <c r="AK142" s="4">
        <v>46227</v>
      </c>
      <c r="AL142" t="s">
        <v>2</v>
      </c>
      <c r="AM142" t="s">
        <v>2</v>
      </c>
      <c r="AN142" t="s">
        <v>23</v>
      </c>
    </row>
    <row r="143" spans="1:40" x14ac:dyDescent="0.25">
      <c r="A143" t="s">
        <v>0</v>
      </c>
      <c r="B143" t="s">
        <v>1</v>
      </c>
      <c r="C143" t="s">
        <v>2</v>
      </c>
      <c r="D143" t="s">
        <v>186</v>
      </c>
      <c r="E143" t="s">
        <v>4</v>
      </c>
      <c r="F143" t="s">
        <v>193</v>
      </c>
      <c r="G143" t="s">
        <v>6</v>
      </c>
      <c r="H143" t="str">
        <f t="shared" si="2"/>
        <v>PXCEU-F67081KBG</v>
      </c>
      <c r="I143" t="s">
        <v>207</v>
      </c>
      <c r="J143" t="s">
        <v>32</v>
      </c>
      <c r="K143" t="s">
        <v>33</v>
      </c>
      <c r="L143" s="2">
        <v>45.5</v>
      </c>
      <c r="M143" s="3">
        <v>57</v>
      </c>
      <c r="N143" t="s">
        <v>30</v>
      </c>
      <c r="O143" s="4">
        <v>46356</v>
      </c>
      <c r="P143" t="s">
        <v>11</v>
      </c>
      <c r="Q143" t="s">
        <v>2</v>
      </c>
      <c r="R143" t="s">
        <v>12</v>
      </c>
      <c r="S143" s="4">
        <v>46227</v>
      </c>
      <c r="T143" t="s">
        <v>13</v>
      </c>
      <c r="U143" t="s">
        <v>2</v>
      </c>
      <c r="V143" t="s">
        <v>14</v>
      </c>
      <c r="W143" t="s">
        <v>15</v>
      </c>
      <c r="X143" t="s">
        <v>16</v>
      </c>
      <c r="Y143" t="s">
        <v>17</v>
      </c>
      <c r="Z143" t="s">
        <v>17</v>
      </c>
      <c r="AA143" t="s">
        <v>18</v>
      </c>
      <c r="AB143" t="s">
        <v>19</v>
      </c>
      <c r="AC143" t="s">
        <v>20</v>
      </c>
      <c r="AD143" t="s">
        <v>34</v>
      </c>
      <c r="AE143" t="s">
        <v>21</v>
      </c>
      <c r="AF143" s="5">
        <v>45.5</v>
      </c>
      <c r="AG143" s="2">
        <v>2593.5</v>
      </c>
      <c r="AH143" t="s">
        <v>22</v>
      </c>
      <c r="AI143" s="4">
        <v>46356</v>
      </c>
      <c r="AJ143" s="4">
        <v>46359</v>
      </c>
      <c r="AK143" s="4">
        <v>46227</v>
      </c>
      <c r="AL143" t="s">
        <v>2</v>
      </c>
      <c r="AM143" t="s">
        <v>2</v>
      </c>
      <c r="AN143" t="s">
        <v>23</v>
      </c>
    </row>
    <row r="144" spans="1:40" x14ac:dyDescent="0.25">
      <c r="A144" t="s">
        <v>0</v>
      </c>
      <c r="B144" t="s">
        <v>1</v>
      </c>
      <c r="C144" t="s">
        <v>2</v>
      </c>
      <c r="D144" t="s">
        <v>186</v>
      </c>
      <c r="E144" t="s">
        <v>4</v>
      </c>
      <c r="F144" t="s">
        <v>193</v>
      </c>
      <c r="G144" t="s">
        <v>6</v>
      </c>
      <c r="H144" t="str">
        <f t="shared" si="2"/>
        <v>PXCEU-F67081FAB</v>
      </c>
      <c r="I144" t="s">
        <v>207</v>
      </c>
      <c r="J144" t="s">
        <v>32</v>
      </c>
      <c r="K144" t="s">
        <v>33</v>
      </c>
      <c r="L144" s="2">
        <v>45.5</v>
      </c>
      <c r="M144" s="3">
        <v>114</v>
      </c>
      <c r="N144" t="s">
        <v>10</v>
      </c>
      <c r="O144" s="4">
        <v>46356</v>
      </c>
      <c r="P144" t="s">
        <v>11</v>
      </c>
      <c r="Q144" t="s">
        <v>2</v>
      </c>
      <c r="R144" t="s">
        <v>12</v>
      </c>
      <c r="S144" s="4">
        <v>46227</v>
      </c>
      <c r="T144" t="s">
        <v>13</v>
      </c>
      <c r="U144" t="s">
        <v>2</v>
      </c>
      <c r="V144" t="s">
        <v>14</v>
      </c>
      <c r="W144" t="s">
        <v>15</v>
      </c>
      <c r="X144" t="s">
        <v>16</v>
      </c>
      <c r="Y144" t="s">
        <v>17</v>
      </c>
      <c r="Z144" t="s">
        <v>17</v>
      </c>
      <c r="AA144" t="s">
        <v>18</v>
      </c>
      <c r="AB144" t="s">
        <v>19</v>
      </c>
      <c r="AC144" t="s">
        <v>20</v>
      </c>
      <c r="AD144" t="s">
        <v>12</v>
      </c>
      <c r="AE144" t="s">
        <v>21</v>
      </c>
      <c r="AF144" s="5">
        <v>45.5</v>
      </c>
      <c r="AG144" s="2">
        <v>5187</v>
      </c>
      <c r="AH144" t="s">
        <v>22</v>
      </c>
      <c r="AI144" s="4">
        <v>46356</v>
      </c>
      <c r="AJ144" s="4">
        <v>46359</v>
      </c>
      <c r="AK144" s="4">
        <v>46227</v>
      </c>
      <c r="AL144" t="s">
        <v>2</v>
      </c>
      <c r="AM144" t="s">
        <v>2</v>
      </c>
      <c r="AN144" t="s">
        <v>23</v>
      </c>
    </row>
    <row r="145" spans="1:40" x14ac:dyDescent="0.25">
      <c r="A145" t="s">
        <v>0</v>
      </c>
      <c r="B145" t="s">
        <v>1</v>
      </c>
      <c r="C145" t="s">
        <v>2</v>
      </c>
      <c r="D145" t="s">
        <v>186</v>
      </c>
      <c r="E145" t="s">
        <v>4</v>
      </c>
      <c r="F145" t="s">
        <v>193</v>
      </c>
      <c r="G145" t="s">
        <v>6</v>
      </c>
      <c r="H145" t="str">
        <f t="shared" si="2"/>
        <v>PXCEV-F63037GAA</v>
      </c>
      <c r="I145" t="s">
        <v>208</v>
      </c>
      <c r="J145" t="s">
        <v>113</v>
      </c>
      <c r="K145" t="s">
        <v>102</v>
      </c>
      <c r="L145" s="2">
        <v>1</v>
      </c>
      <c r="M145" s="3">
        <v>48</v>
      </c>
      <c r="N145" t="s">
        <v>37</v>
      </c>
      <c r="O145" s="4">
        <v>46356</v>
      </c>
      <c r="P145" t="s">
        <v>11</v>
      </c>
      <c r="Q145" t="s">
        <v>2</v>
      </c>
      <c r="R145" t="s">
        <v>12</v>
      </c>
      <c r="S145" s="4">
        <v>46227</v>
      </c>
      <c r="T145" t="s">
        <v>13</v>
      </c>
      <c r="U145" t="s">
        <v>2</v>
      </c>
      <c r="V145" t="s">
        <v>14</v>
      </c>
      <c r="W145" t="s">
        <v>15</v>
      </c>
      <c r="X145" t="s">
        <v>16</v>
      </c>
      <c r="Y145" t="s">
        <v>17</v>
      </c>
      <c r="Z145" t="s">
        <v>17</v>
      </c>
      <c r="AA145" t="s">
        <v>18</v>
      </c>
      <c r="AB145" t="s">
        <v>19</v>
      </c>
      <c r="AC145" t="s">
        <v>20</v>
      </c>
      <c r="AD145" t="s">
        <v>12</v>
      </c>
      <c r="AE145" t="s">
        <v>21</v>
      </c>
      <c r="AF145" s="5">
        <v>1</v>
      </c>
      <c r="AG145" s="2">
        <v>48</v>
      </c>
      <c r="AH145" t="s">
        <v>22</v>
      </c>
      <c r="AI145" s="4">
        <v>46356</v>
      </c>
      <c r="AJ145" s="4">
        <v>46359</v>
      </c>
      <c r="AK145" s="4">
        <v>46227</v>
      </c>
      <c r="AL145" t="s">
        <v>2</v>
      </c>
      <c r="AM145" t="s">
        <v>2</v>
      </c>
      <c r="AN145" t="s">
        <v>23</v>
      </c>
    </row>
    <row r="146" spans="1:40" x14ac:dyDescent="0.25">
      <c r="A146" t="s">
        <v>0</v>
      </c>
      <c r="B146" t="s">
        <v>1</v>
      </c>
      <c r="C146" t="s">
        <v>2</v>
      </c>
      <c r="D146" t="s">
        <v>186</v>
      </c>
      <c r="E146" t="s">
        <v>4</v>
      </c>
      <c r="F146" t="s">
        <v>193</v>
      </c>
      <c r="G146" t="s">
        <v>6</v>
      </c>
      <c r="H146" t="str">
        <f t="shared" si="2"/>
        <v>PXCFV-F63023TLD</v>
      </c>
      <c r="I146" t="s">
        <v>209</v>
      </c>
      <c r="J146" t="s">
        <v>58</v>
      </c>
      <c r="K146" t="s">
        <v>59</v>
      </c>
      <c r="L146" s="2">
        <v>1</v>
      </c>
      <c r="M146" s="3">
        <v>22</v>
      </c>
      <c r="N146" t="s">
        <v>60</v>
      </c>
      <c r="O146" s="4">
        <v>46356</v>
      </c>
      <c r="P146" t="s">
        <v>11</v>
      </c>
      <c r="Q146" t="s">
        <v>2</v>
      </c>
      <c r="R146" t="s">
        <v>12</v>
      </c>
      <c r="S146" s="4">
        <v>46227</v>
      </c>
      <c r="T146" t="s">
        <v>13</v>
      </c>
      <c r="U146" t="s">
        <v>2</v>
      </c>
      <c r="V146" t="s">
        <v>14</v>
      </c>
      <c r="W146" t="s">
        <v>15</v>
      </c>
      <c r="X146" t="s">
        <v>16</v>
      </c>
      <c r="Y146" t="s">
        <v>17</v>
      </c>
      <c r="Z146" t="s">
        <v>17</v>
      </c>
      <c r="AA146" t="s">
        <v>18</v>
      </c>
      <c r="AB146" t="s">
        <v>19</v>
      </c>
      <c r="AC146" t="s">
        <v>20</v>
      </c>
      <c r="AD146" t="s">
        <v>12</v>
      </c>
      <c r="AE146" t="s">
        <v>21</v>
      </c>
      <c r="AF146" s="5">
        <v>1</v>
      </c>
      <c r="AG146" s="2">
        <v>22</v>
      </c>
      <c r="AH146" t="s">
        <v>22</v>
      </c>
      <c r="AI146" s="4">
        <v>46356</v>
      </c>
      <c r="AJ146" s="4">
        <v>46359</v>
      </c>
      <c r="AK146" s="4">
        <v>46227</v>
      </c>
      <c r="AL146" t="s">
        <v>2</v>
      </c>
      <c r="AM146" t="s">
        <v>2</v>
      </c>
      <c r="AN146" t="s">
        <v>23</v>
      </c>
    </row>
    <row r="147" spans="1:40" x14ac:dyDescent="0.25">
      <c r="A147" t="s">
        <v>0</v>
      </c>
      <c r="B147" t="s">
        <v>1</v>
      </c>
      <c r="C147" t="s">
        <v>2</v>
      </c>
      <c r="D147" t="s">
        <v>186</v>
      </c>
      <c r="E147" t="s">
        <v>4</v>
      </c>
      <c r="F147" t="s">
        <v>193</v>
      </c>
      <c r="G147" t="s">
        <v>6</v>
      </c>
      <c r="H147" t="str">
        <f t="shared" si="2"/>
        <v>PXCBC-F67008LAO</v>
      </c>
      <c r="I147" t="s">
        <v>210</v>
      </c>
      <c r="J147" t="s">
        <v>42</v>
      </c>
      <c r="K147" t="s">
        <v>43</v>
      </c>
      <c r="L147" s="2">
        <v>67.8</v>
      </c>
      <c r="M147" s="3">
        <v>55</v>
      </c>
      <c r="N147" t="s">
        <v>44</v>
      </c>
      <c r="O147" s="4">
        <v>46356</v>
      </c>
      <c r="P147" t="s">
        <v>11</v>
      </c>
      <c r="Q147" t="s">
        <v>2</v>
      </c>
      <c r="R147" t="s">
        <v>12</v>
      </c>
      <c r="S147" s="4">
        <v>46227</v>
      </c>
      <c r="T147" t="s">
        <v>13</v>
      </c>
      <c r="U147" t="s">
        <v>2</v>
      </c>
      <c r="V147" t="s">
        <v>14</v>
      </c>
      <c r="W147" t="s">
        <v>15</v>
      </c>
      <c r="X147" t="s">
        <v>16</v>
      </c>
      <c r="Y147" t="s">
        <v>17</v>
      </c>
      <c r="Z147" t="s">
        <v>17</v>
      </c>
      <c r="AA147" t="s">
        <v>18</v>
      </c>
      <c r="AB147" t="s">
        <v>19</v>
      </c>
      <c r="AC147" t="s">
        <v>20</v>
      </c>
      <c r="AD147" t="s">
        <v>12</v>
      </c>
      <c r="AE147" t="s">
        <v>21</v>
      </c>
      <c r="AF147" s="5">
        <v>67.8</v>
      </c>
      <c r="AG147" s="2">
        <v>3729</v>
      </c>
      <c r="AH147" t="s">
        <v>22</v>
      </c>
      <c r="AI147" s="4">
        <v>46356</v>
      </c>
      <c r="AJ147" s="4">
        <v>46359</v>
      </c>
      <c r="AK147" s="4">
        <v>46227</v>
      </c>
      <c r="AL147" t="s">
        <v>2</v>
      </c>
      <c r="AM147" t="s">
        <v>2</v>
      </c>
      <c r="AN147" t="s">
        <v>23</v>
      </c>
    </row>
    <row r="148" spans="1:40" x14ac:dyDescent="0.25">
      <c r="A148" t="s">
        <v>0</v>
      </c>
      <c r="B148" t="s">
        <v>1</v>
      </c>
      <c r="C148" t="s">
        <v>2</v>
      </c>
      <c r="D148" t="s">
        <v>186</v>
      </c>
      <c r="E148" t="s">
        <v>4</v>
      </c>
      <c r="F148" t="s">
        <v>193</v>
      </c>
      <c r="G148" t="s">
        <v>6</v>
      </c>
      <c r="H148" t="str">
        <f t="shared" si="2"/>
        <v>PXCBC-F67008DAB</v>
      </c>
      <c r="I148" t="s">
        <v>210</v>
      </c>
      <c r="J148" t="s">
        <v>42</v>
      </c>
      <c r="K148" t="s">
        <v>43</v>
      </c>
      <c r="L148" s="2">
        <v>67.8</v>
      </c>
      <c r="M148" s="3">
        <v>82</v>
      </c>
      <c r="N148" t="s">
        <v>45</v>
      </c>
      <c r="O148" s="4">
        <v>46356</v>
      </c>
      <c r="P148" t="s">
        <v>11</v>
      </c>
      <c r="Q148" t="s">
        <v>2</v>
      </c>
      <c r="R148" t="s">
        <v>12</v>
      </c>
      <c r="S148" s="4">
        <v>46227</v>
      </c>
      <c r="T148" t="s">
        <v>13</v>
      </c>
      <c r="U148" t="s">
        <v>2</v>
      </c>
      <c r="V148" t="s">
        <v>14</v>
      </c>
      <c r="W148" t="s">
        <v>15</v>
      </c>
      <c r="X148" t="s">
        <v>16</v>
      </c>
      <c r="Y148" t="s">
        <v>17</v>
      </c>
      <c r="Z148" t="s">
        <v>17</v>
      </c>
      <c r="AA148" t="s">
        <v>18</v>
      </c>
      <c r="AB148" t="s">
        <v>19</v>
      </c>
      <c r="AC148" t="s">
        <v>20</v>
      </c>
      <c r="AD148" t="s">
        <v>34</v>
      </c>
      <c r="AE148" t="s">
        <v>21</v>
      </c>
      <c r="AF148" s="5">
        <v>67.8</v>
      </c>
      <c r="AG148" s="2">
        <v>5559.6</v>
      </c>
      <c r="AH148" t="s">
        <v>22</v>
      </c>
      <c r="AI148" s="4">
        <v>46356</v>
      </c>
      <c r="AJ148" s="4">
        <v>46359</v>
      </c>
      <c r="AK148" s="4">
        <v>46227</v>
      </c>
      <c r="AL148" t="s">
        <v>2</v>
      </c>
      <c r="AM148" t="s">
        <v>2</v>
      </c>
      <c r="AN148" t="s">
        <v>23</v>
      </c>
    </row>
    <row r="149" spans="1:40" x14ac:dyDescent="0.25">
      <c r="A149" t="s">
        <v>0</v>
      </c>
      <c r="B149" t="s">
        <v>1</v>
      </c>
      <c r="C149" t="s">
        <v>2</v>
      </c>
      <c r="D149" t="s">
        <v>186</v>
      </c>
      <c r="E149" t="s">
        <v>4</v>
      </c>
      <c r="F149" t="s">
        <v>193</v>
      </c>
      <c r="G149" t="s">
        <v>6</v>
      </c>
      <c r="H149" t="str">
        <f t="shared" si="2"/>
        <v>PXCBC-F67043LZZ</v>
      </c>
      <c r="I149" t="s">
        <v>211</v>
      </c>
      <c r="J149" t="s">
        <v>25</v>
      </c>
      <c r="K149" t="s">
        <v>26</v>
      </c>
      <c r="L149" s="2">
        <v>66.680000000000007</v>
      </c>
      <c r="M149" s="3">
        <v>54</v>
      </c>
      <c r="N149" t="s">
        <v>27</v>
      </c>
      <c r="O149" s="4">
        <v>46356</v>
      </c>
      <c r="P149" t="s">
        <v>11</v>
      </c>
      <c r="Q149" t="s">
        <v>2</v>
      </c>
      <c r="R149" t="s">
        <v>12</v>
      </c>
      <c r="S149" s="4">
        <v>46227</v>
      </c>
      <c r="T149" t="s">
        <v>13</v>
      </c>
      <c r="U149" t="s">
        <v>2</v>
      </c>
      <c r="V149" t="s">
        <v>14</v>
      </c>
      <c r="W149" t="s">
        <v>15</v>
      </c>
      <c r="X149" t="s">
        <v>16</v>
      </c>
      <c r="Y149" t="s">
        <v>17</v>
      </c>
      <c r="Z149" t="s">
        <v>17</v>
      </c>
      <c r="AA149" t="s">
        <v>18</v>
      </c>
      <c r="AB149" t="s">
        <v>19</v>
      </c>
      <c r="AC149" t="s">
        <v>20</v>
      </c>
      <c r="AD149" t="s">
        <v>12</v>
      </c>
      <c r="AE149" t="s">
        <v>21</v>
      </c>
      <c r="AF149" s="5">
        <v>66.680000000000007</v>
      </c>
      <c r="AG149" s="2">
        <v>3600.72</v>
      </c>
      <c r="AH149" t="s">
        <v>22</v>
      </c>
      <c r="AI149" s="4">
        <v>46356</v>
      </c>
      <c r="AJ149" s="4">
        <v>46359</v>
      </c>
      <c r="AK149" s="4">
        <v>46227</v>
      </c>
      <c r="AL149" t="s">
        <v>2</v>
      </c>
      <c r="AM149" t="s">
        <v>2</v>
      </c>
      <c r="AN149" t="s">
        <v>23</v>
      </c>
    </row>
    <row r="150" spans="1:40" x14ac:dyDescent="0.25">
      <c r="A150" t="s">
        <v>0</v>
      </c>
      <c r="B150" t="s">
        <v>1</v>
      </c>
      <c r="C150" t="s">
        <v>2</v>
      </c>
      <c r="D150" t="s">
        <v>186</v>
      </c>
      <c r="E150" t="s">
        <v>4</v>
      </c>
      <c r="F150" t="s">
        <v>193</v>
      </c>
      <c r="G150" t="s">
        <v>6</v>
      </c>
      <c r="H150" t="str">
        <f t="shared" si="2"/>
        <v>PXCBC-F67043DAB</v>
      </c>
      <c r="I150" t="s">
        <v>211</v>
      </c>
      <c r="J150" t="s">
        <v>25</v>
      </c>
      <c r="K150" t="s">
        <v>26</v>
      </c>
      <c r="L150" s="2">
        <v>66.5</v>
      </c>
      <c r="M150" s="3">
        <v>23</v>
      </c>
      <c r="N150" t="s">
        <v>45</v>
      </c>
      <c r="O150" s="4">
        <v>46356</v>
      </c>
      <c r="P150" t="s">
        <v>11</v>
      </c>
      <c r="Q150" t="s">
        <v>2</v>
      </c>
      <c r="R150" t="s">
        <v>12</v>
      </c>
      <c r="S150" s="4">
        <v>46227</v>
      </c>
      <c r="T150" t="s">
        <v>13</v>
      </c>
      <c r="U150" t="s">
        <v>2</v>
      </c>
      <c r="V150" t="s">
        <v>14</v>
      </c>
      <c r="W150" t="s">
        <v>15</v>
      </c>
      <c r="X150" t="s">
        <v>16</v>
      </c>
      <c r="Y150" t="s">
        <v>17</v>
      </c>
      <c r="Z150" t="s">
        <v>17</v>
      </c>
      <c r="AA150" t="s">
        <v>18</v>
      </c>
      <c r="AB150" t="s">
        <v>19</v>
      </c>
      <c r="AC150" t="s">
        <v>20</v>
      </c>
      <c r="AD150" t="s">
        <v>34</v>
      </c>
      <c r="AE150" t="s">
        <v>21</v>
      </c>
      <c r="AF150" s="5">
        <v>66.5</v>
      </c>
      <c r="AG150" s="2">
        <v>1529.5</v>
      </c>
      <c r="AH150" t="s">
        <v>22</v>
      </c>
      <c r="AI150" s="4">
        <v>46356</v>
      </c>
      <c r="AJ150" s="4">
        <v>46359</v>
      </c>
      <c r="AK150" s="4">
        <v>46227</v>
      </c>
      <c r="AL150" t="s">
        <v>2</v>
      </c>
      <c r="AM150" t="s">
        <v>2</v>
      </c>
      <c r="AN150" t="s">
        <v>23</v>
      </c>
    </row>
    <row r="151" spans="1:40" x14ac:dyDescent="0.25">
      <c r="A151" t="s">
        <v>0</v>
      </c>
      <c r="B151" t="s">
        <v>1</v>
      </c>
      <c r="C151" t="s">
        <v>2</v>
      </c>
      <c r="D151" t="s">
        <v>186</v>
      </c>
      <c r="E151" t="s">
        <v>4</v>
      </c>
      <c r="F151" t="s">
        <v>193</v>
      </c>
      <c r="G151" t="s">
        <v>6</v>
      </c>
      <c r="H151" t="str">
        <f t="shared" si="2"/>
        <v>PXCBC-F67081LZZ</v>
      </c>
      <c r="I151" t="s">
        <v>212</v>
      </c>
      <c r="J151" t="s">
        <v>63</v>
      </c>
      <c r="K151" t="s">
        <v>33</v>
      </c>
      <c r="L151" s="2">
        <v>38.5</v>
      </c>
      <c r="M151" s="3">
        <v>60</v>
      </c>
      <c r="N151" t="s">
        <v>27</v>
      </c>
      <c r="O151" s="4">
        <v>46356</v>
      </c>
      <c r="P151" t="s">
        <v>11</v>
      </c>
      <c r="Q151" t="s">
        <v>2</v>
      </c>
      <c r="R151" t="s">
        <v>12</v>
      </c>
      <c r="S151" s="4">
        <v>46227</v>
      </c>
      <c r="T151" t="s">
        <v>13</v>
      </c>
      <c r="U151" t="s">
        <v>2</v>
      </c>
      <c r="V151" t="s">
        <v>14</v>
      </c>
      <c r="W151" t="s">
        <v>15</v>
      </c>
      <c r="X151" t="s">
        <v>16</v>
      </c>
      <c r="Y151" t="s">
        <v>17</v>
      </c>
      <c r="Z151" t="s">
        <v>17</v>
      </c>
      <c r="AA151" t="s">
        <v>18</v>
      </c>
      <c r="AB151" t="s">
        <v>19</v>
      </c>
      <c r="AC151" t="s">
        <v>20</v>
      </c>
      <c r="AD151" t="s">
        <v>84</v>
      </c>
      <c r="AE151" t="s">
        <v>21</v>
      </c>
      <c r="AF151" s="5">
        <v>38.5</v>
      </c>
      <c r="AG151" s="2">
        <v>2310</v>
      </c>
      <c r="AH151" t="s">
        <v>22</v>
      </c>
      <c r="AI151" s="4">
        <v>46356</v>
      </c>
      <c r="AJ151" s="4">
        <v>46359</v>
      </c>
      <c r="AK151" s="4">
        <v>46227</v>
      </c>
      <c r="AL151" t="s">
        <v>2</v>
      </c>
      <c r="AM151" t="s">
        <v>2</v>
      </c>
      <c r="AN151" t="s">
        <v>23</v>
      </c>
    </row>
    <row r="152" spans="1:40" x14ac:dyDescent="0.25">
      <c r="A152" t="s">
        <v>0</v>
      </c>
      <c r="B152" t="s">
        <v>1</v>
      </c>
      <c r="C152" t="s">
        <v>2</v>
      </c>
      <c r="D152" t="s">
        <v>186</v>
      </c>
      <c r="E152" t="s">
        <v>4</v>
      </c>
      <c r="F152" t="s">
        <v>193</v>
      </c>
      <c r="G152" t="s">
        <v>6</v>
      </c>
      <c r="H152" t="str">
        <f t="shared" si="2"/>
        <v>PXCBC-F67081LAO</v>
      </c>
      <c r="I152" t="s">
        <v>212</v>
      </c>
      <c r="J152" t="s">
        <v>63</v>
      </c>
      <c r="K152" t="s">
        <v>33</v>
      </c>
      <c r="L152" s="2">
        <v>38.5</v>
      </c>
      <c r="M152" s="3">
        <v>72</v>
      </c>
      <c r="N152" t="s">
        <v>44</v>
      </c>
      <c r="O152" s="4">
        <v>46356</v>
      </c>
      <c r="P152" t="s">
        <v>11</v>
      </c>
      <c r="Q152" t="s">
        <v>2</v>
      </c>
      <c r="R152" t="s">
        <v>12</v>
      </c>
      <c r="S152" s="4">
        <v>46227</v>
      </c>
      <c r="T152" t="s">
        <v>13</v>
      </c>
      <c r="U152" t="s">
        <v>2</v>
      </c>
      <c r="V152" t="s">
        <v>14</v>
      </c>
      <c r="W152" t="s">
        <v>15</v>
      </c>
      <c r="X152" t="s">
        <v>16</v>
      </c>
      <c r="Y152" t="s">
        <v>17</v>
      </c>
      <c r="Z152" t="s">
        <v>17</v>
      </c>
      <c r="AA152" t="s">
        <v>18</v>
      </c>
      <c r="AB152" t="s">
        <v>19</v>
      </c>
      <c r="AC152" t="s">
        <v>20</v>
      </c>
      <c r="AD152" t="s">
        <v>34</v>
      </c>
      <c r="AE152" t="s">
        <v>21</v>
      </c>
      <c r="AF152" s="5">
        <v>38.5</v>
      </c>
      <c r="AG152" s="2">
        <v>2772</v>
      </c>
      <c r="AH152" t="s">
        <v>22</v>
      </c>
      <c r="AI152" s="4">
        <v>46356</v>
      </c>
      <c r="AJ152" s="4">
        <v>46359</v>
      </c>
      <c r="AK152" s="4">
        <v>46227</v>
      </c>
      <c r="AL152" t="s">
        <v>2</v>
      </c>
      <c r="AM152" t="s">
        <v>2</v>
      </c>
      <c r="AN152" t="s">
        <v>23</v>
      </c>
    </row>
    <row r="153" spans="1:40" x14ac:dyDescent="0.25">
      <c r="A153" t="s">
        <v>0</v>
      </c>
      <c r="B153" t="s">
        <v>1</v>
      </c>
      <c r="C153" t="s">
        <v>2</v>
      </c>
      <c r="D153" t="s">
        <v>186</v>
      </c>
      <c r="E153" t="s">
        <v>4</v>
      </c>
      <c r="F153" t="s">
        <v>193</v>
      </c>
      <c r="G153" t="s">
        <v>6</v>
      </c>
      <c r="H153" t="str">
        <f t="shared" si="2"/>
        <v>PXCBC-F67081DAB</v>
      </c>
      <c r="I153" t="s">
        <v>212</v>
      </c>
      <c r="J153" t="s">
        <v>63</v>
      </c>
      <c r="K153" t="s">
        <v>33</v>
      </c>
      <c r="L153" s="2">
        <v>38.5</v>
      </c>
      <c r="M153" s="3">
        <v>129</v>
      </c>
      <c r="N153" t="s">
        <v>45</v>
      </c>
      <c r="O153" s="4">
        <v>46356</v>
      </c>
      <c r="P153" t="s">
        <v>11</v>
      </c>
      <c r="Q153" t="s">
        <v>2</v>
      </c>
      <c r="R153" t="s">
        <v>12</v>
      </c>
      <c r="S153" s="4">
        <v>46227</v>
      </c>
      <c r="T153" t="s">
        <v>13</v>
      </c>
      <c r="U153" t="s">
        <v>2</v>
      </c>
      <c r="V153" t="s">
        <v>14</v>
      </c>
      <c r="W153" t="s">
        <v>15</v>
      </c>
      <c r="X153" t="s">
        <v>16</v>
      </c>
      <c r="Y153" t="s">
        <v>17</v>
      </c>
      <c r="Z153" t="s">
        <v>17</v>
      </c>
      <c r="AA153" t="s">
        <v>18</v>
      </c>
      <c r="AB153" t="s">
        <v>19</v>
      </c>
      <c r="AC153" t="s">
        <v>20</v>
      </c>
      <c r="AD153" t="s">
        <v>12</v>
      </c>
      <c r="AE153" t="s">
        <v>21</v>
      </c>
      <c r="AF153" s="5">
        <v>38.5</v>
      </c>
      <c r="AG153" s="2">
        <v>4966.5</v>
      </c>
      <c r="AH153" t="s">
        <v>22</v>
      </c>
      <c r="AI153" s="4">
        <v>46356</v>
      </c>
      <c r="AJ153" s="4">
        <v>46359</v>
      </c>
      <c r="AK153" s="4">
        <v>46227</v>
      </c>
      <c r="AL153" t="s">
        <v>2</v>
      </c>
      <c r="AM153" t="s">
        <v>2</v>
      </c>
      <c r="AN153" t="s">
        <v>23</v>
      </c>
    </row>
    <row r="154" spans="1:40" x14ac:dyDescent="0.25">
      <c r="A154" t="s">
        <v>0</v>
      </c>
      <c r="B154" t="s">
        <v>1</v>
      </c>
      <c r="C154" t="s">
        <v>2</v>
      </c>
      <c r="D154" t="s">
        <v>186</v>
      </c>
      <c r="E154" t="s">
        <v>4</v>
      </c>
      <c r="F154" t="s">
        <v>193</v>
      </c>
      <c r="G154" t="s">
        <v>6</v>
      </c>
      <c r="H154" t="str">
        <f t="shared" si="2"/>
        <v>PXCEV-F63034LZZ</v>
      </c>
      <c r="I154" t="s">
        <v>213</v>
      </c>
      <c r="J154" t="s">
        <v>36</v>
      </c>
      <c r="K154" t="s">
        <v>9</v>
      </c>
      <c r="L154" s="2">
        <v>30</v>
      </c>
      <c r="M154" s="3">
        <v>54</v>
      </c>
      <c r="N154" t="s">
        <v>27</v>
      </c>
      <c r="O154" s="4">
        <v>46356</v>
      </c>
      <c r="P154" t="s">
        <v>11</v>
      </c>
      <c r="Q154" t="s">
        <v>2</v>
      </c>
      <c r="R154" t="s">
        <v>12</v>
      </c>
      <c r="S154" s="4">
        <v>46227</v>
      </c>
      <c r="T154" t="s">
        <v>13</v>
      </c>
      <c r="U154" t="s">
        <v>2</v>
      </c>
      <c r="V154" t="s">
        <v>14</v>
      </c>
      <c r="W154" t="s">
        <v>15</v>
      </c>
      <c r="X154" t="s">
        <v>16</v>
      </c>
      <c r="Y154" t="s">
        <v>17</v>
      </c>
      <c r="Z154" t="s">
        <v>17</v>
      </c>
      <c r="AA154" t="s">
        <v>18</v>
      </c>
      <c r="AB154" t="s">
        <v>19</v>
      </c>
      <c r="AC154" t="s">
        <v>20</v>
      </c>
      <c r="AD154" t="s">
        <v>12</v>
      </c>
      <c r="AE154" t="s">
        <v>21</v>
      </c>
      <c r="AF154" s="5">
        <v>30</v>
      </c>
      <c r="AG154" s="2">
        <v>1620</v>
      </c>
      <c r="AH154" t="s">
        <v>22</v>
      </c>
      <c r="AI154" s="4">
        <v>46356</v>
      </c>
      <c r="AJ154" s="4">
        <v>46359</v>
      </c>
      <c r="AK154" s="4">
        <v>46227</v>
      </c>
      <c r="AL154" t="s">
        <v>2</v>
      </c>
      <c r="AM154" t="s">
        <v>2</v>
      </c>
      <c r="AN154" t="s">
        <v>23</v>
      </c>
    </row>
    <row r="155" spans="1:40" x14ac:dyDescent="0.25">
      <c r="A155" t="s">
        <v>0</v>
      </c>
      <c r="B155" t="s">
        <v>1</v>
      </c>
      <c r="C155" t="s">
        <v>2</v>
      </c>
      <c r="D155" t="s">
        <v>186</v>
      </c>
      <c r="E155" t="s">
        <v>4</v>
      </c>
      <c r="F155" t="s">
        <v>193</v>
      </c>
      <c r="G155" t="s">
        <v>6</v>
      </c>
      <c r="H155" t="str">
        <f t="shared" si="2"/>
        <v>PXCEV-F63034GAA</v>
      </c>
      <c r="I155" t="s">
        <v>213</v>
      </c>
      <c r="J155" t="s">
        <v>36</v>
      </c>
      <c r="K155" t="s">
        <v>9</v>
      </c>
      <c r="L155" s="2">
        <v>30</v>
      </c>
      <c r="M155" s="3">
        <v>25</v>
      </c>
      <c r="N155" t="s">
        <v>37</v>
      </c>
      <c r="O155" s="4">
        <v>46356</v>
      </c>
      <c r="P155" t="s">
        <v>11</v>
      </c>
      <c r="Q155" t="s">
        <v>2</v>
      </c>
      <c r="R155" t="s">
        <v>12</v>
      </c>
      <c r="S155" s="4">
        <v>46227</v>
      </c>
      <c r="T155" t="s">
        <v>13</v>
      </c>
      <c r="U155" t="s">
        <v>2</v>
      </c>
      <c r="V155" t="s">
        <v>14</v>
      </c>
      <c r="W155" t="s">
        <v>15</v>
      </c>
      <c r="X155" t="s">
        <v>16</v>
      </c>
      <c r="Y155" t="s">
        <v>17</v>
      </c>
      <c r="Z155" t="s">
        <v>17</v>
      </c>
      <c r="AA155" t="s">
        <v>18</v>
      </c>
      <c r="AB155" t="s">
        <v>19</v>
      </c>
      <c r="AC155" t="s">
        <v>20</v>
      </c>
      <c r="AD155" t="s">
        <v>34</v>
      </c>
      <c r="AE155" t="s">
        <v>21</v>
      </c>
      <c r="AF155" s="5">
        <v>30</v>
      </c>
      <c r="AG155" s="2">
        <v>750</v>
      </c>
      <c r="AH155" t="s">
        <v>22</v>
      </c>
      <c r="AI155" s="4">
        <v>46356</v>
      </c>
      <c r="AJ155" s="4">
        <v>46359</v>
      </c>
      <c r="AK155" s="4">
        <v>46227</v>
      </c>
      <c r="AL155" t="s">
        <v>2</v>
      </c>
      <c r="AM155" t="s">
        <v>2</v>
      </c>
      <c r="AN155" t="s">
        <v>23</v>
      </c>
    </row>
    <row r="156" spans="1:40" x14ac:dyDescent="0.25">
      <c r="A156" t="s">
        <v>0</v>
      </c>
      <c r="B156" t="s">
        <v>1</v>
      </c>
      <c r="C156" t="s">
        <v>2</v>
      </c>
      <c r="D156" t="s">
        <v>186</v>
      </c>
      <c r="E156" t="s">
        <v>4</v>
      </c>
      <c r="F156" t="s">
        <v>193</v>
      </c>
      <c r="G156" t="s">
        <v>6</v>
      </c>
      <c r="H156" t="str">
        <f t="shared" si="2"/>
        <v>PXCEV-F67008GAA</v>
      </c>
      <c r="I156" t="s">
        <v>214</v>
      </c>
      <c r="J156" t="s">
        <v>66</v>
      </c>
      <c r="K156" t="s">
        <v>43</v>
      </c>
      <c r="L156" s="2">
        <v>81.5</v>
      </c>
      <c r="M156" s="3">
        <v>48</v>
      </c>
      <c r="N156" t="s">
        <v>37</v>
      </c>
      <c r="O156" s="4">
        <v>46356</v>
      </c>
      <c r="P156" t="s">
        <v>11</v>
      </c>
      <c r="Q156" t="s">
        <v>2</v>
      </c>
      <c r="R156" t="s">
        <v>12</v>
      </c>
      <c r="S156" s="4">
        <v>46227</v>
      </c>
      <c r="T156" t="s">
        <v>13</v>
      </c>
      <c r="U156" t="s">
        <v>2</v>
      </c>
      <c r="V156" t="s">
        <v>14</v>
      </c>
      <c r="W156" t="s">
        <v>15</v>
      </c>
      <c r="X156" t="s">
        <v>16</v>
      </c>
      <c r="Y156" t="s">
        <v>17</v>
      </c>
      <c r="Z156" t="s">
        <v>17</v>
      </c>
      <c r="AA156" t="s">
        <v>18</v>
      </c>
      <c r="AB156" t="s">
        <v>19</v>
      </c>
      <c r="AC156" t="s">
        <v>20</v>
      </c>
      <c r="AD156" t="s">
        <v>12</v>
      </c>
      <c r="AE156" t="s">
        <v>21</v>
      </c>
      <c r="AF156" s="5">
        <v>81.5</v>
      </c>
      <c r="AG156" s="2">
        <v>3912</v>
      </c>
      <c r="AH156" t="s">
        <v>22</v>
      </c>
      <c r="AI156" s="4">
        <v>46356</v>
      </c>
      <c r="AJ156" s="4">
        <v>46359</v>
      </c>
      <c r="AK156" s="4">
        <v>46227</v>
      </c>
      <c r="AL156" t="s">
        <v>2</v>
      </c>
      <c r="AM156" t="s">
        <v>2</v>
      </c>
      <c r="AN156" t="s">
        <v>23</v>
      </c>
    </row>
    <row r="157" spans="1:40" x14ac:dyDescent="0.25">
      <c r="A157" t="s">
        <v>0</v>
      </c>
      <c r="B157" t="s">
        <v>1</v>
      </c>
      <c r="C157" t="s">
        <v>2</v>
      </c>
      <c r="D157" t="s">
        <v>186</v>
      </c>
      <c r="E157" t="s">
        <v>4</v>
      </c>
      <c r="F157" t="s">
        <v>193</v>
      </c>
      <c r="G157" t="s">
        <v>6</v>
      </c>
      <c r="H157" t="str">
        <f t="shared" si="2"/>
        <v>PXCEV-F67081GAA</v>
      </c>
      <c r="I157" t="s">
        <v>215</v>
      </c>
      <c r="J157" t="s">
        <v>39</v>
      </c>
      <c r="K157" t="s">
        <v>33</v>
      </c>
      <c r="L157" s="2">
        <v>46</v>
      </c>
      <c r="M157" s="3">
        <v>86</v>
      </c>
      <c r="N157" t="s">
        <v>37</v>
      </c>
      <c r="O157" s="4">
        <v>46356</v>
      </c>
      <c r="P157" t="s">
        <v>11</v>
      </c>
      <c r="Q157" t="s">
        <v>2</v>
      </c>
      <c r="R157" t="s">
        <v>12</v>
      </c>
      <c r="S157" s="4">
        <v>46227</v>
      </c>
      <c r="T157" t="s">
        <v>13</v>
      </c>
      <c r="U157" t="s">
        <v>2</v>
      </c>
      <c r="V157" t="s">
        <v>14</v>
      </c>
      <c r="W157" t="s">
        <v>15</v>
      </c>
      <c r="X157" t="s">
        <v>16</v>
      </c>
      <c r="Y157" t="s">
        <v>17</v>
      </c>
      <c r="Z157" t="s">
        <v>17</v>
      </c>
      <c r="AA157" t="s">
        <v>18</v>
      </c>
      <c r="AB157" t="s">
        <v>19</v>
      </c>
      <c r="AC157" t="s">
        <v>20</v>
      </c>
      <c r="AD157" t="s">
        <v>12</v>
      </c>
      <c r="AE157" t="s">
        <v>21</v>
      </c>
      <c r="AF157" s="5">
        <v>46</v>
      </c>
      <c r="AG157" s="2">
        <v>3956</v>
      </c>
      <c r="AH157" t="s">
        <v>22</v>
      </c>
      <c r="AI157" s="4">
        <v>46356</v>
      </c>
      <c r="AJ157" s="4">
        <v>46359</v>
      </c>
      <c r="AK157" s="4">
        <v>46227</v>
      </c>
      <c r="AL157" t="s">
        <v>2</v>
      </c>
      <c r="AM157" t="s">
        <v>2</v>
      </c>
      <c r="AN157" t="s">
        <v>23</v>
      </c>
    </row>
    <row r="158" spans="1:40" x14ac:dyDescent="0.25">
      <c r="A158" t="s">
        <v>0</v>
      </c>
      <c r="B158" t="s">
        <v>1</v>
      </c>
      <c r="C158" t="s">
        <v>2</v>
      </c>
      <c r="D158" t="s">
        <v>186</v>
      </c>
      <c r="E158" t="s">
        <v>4</v>
      </c>
      <c r="F158" t="s">
        <v>193</v>
      </c>
      <c r="G158" t="s">
        <v>6</v>
      </c>
      <c r="H158" t="str">
        <f t="shared" si="2"/>
        <v>PXCBC-M65222LZZ</v>
      </c>
      <c r="I158" t="s">
        <v>216</v>
      </c>
      <c r="J158" t="s">
        <v>105</v>
      </c>
      <c r="K158" t="s">
        <v>106</v>
      </c>
      <c r="L158" s="2">
        <v>21.35</v>
      </c>
      <c r="M158" s="3">
        <v>13</v>
      </c>
      <c r="N158" t="s">
        <v>217</v>
      </c>
      <c r="O158" s="4">
        <v>46230</v>
      </c>
      <c r="P158" t="s">
        <v>11</v>
      </c>
      <c r="Q158" t="s">
        <v>2</v>
      </c>
      <c r="R158" t="s">
        <v>12</v>
      </c>
      <c r="S158" s="4">
        <v>46230</v>
      </c>
      <c r="T158" t="s">
        <v>13</v>
      </c>
      <c r="U158" t="s">
        <v>2</v>
      </c>
      <c r="V158" t="s">
        <v>14</v>
      </c>
      <c r="W158" t="s">
        <v>15</v>
      </c>
      <c r="X158" t="s">
        <v>16</v>
      </c>
      <c r="Y158" t="s">
        <v>17</v>
      </c>
      <c r="Z158" t="s">
        <v>17</v>
      </c>
      <c r="AA158" t="s">
        <v>18</v>
      </c>
      <c r="AB158" t="s">
        <v>19</v>
      </c>
      <c r="AC158" t="s">
        <v>171</v>
      </c>
      <c r="AD158" t="s">
        <v>84</v>
      </c>
      <c r="AE158" t="s">
        <v>21</v>
      </c>
      <c r="AF158" s="5">
        <v>21.35</v>
      </c>
      <c r="AG158" s="2">
        <v>277.55</v>
      </c>
      <c r="AH158" t="s">
        <v>22</v>
      </c>
      <c r="AI158" s="4">
        <v>46230</v>
      </c>
      <c r="AJ158" s="4">
        <v>46233</v>
      </c>
      <c r="AK158" s="4">
        <v>46230</v>
      </c>
      <c r="AL158" t="s">
        <v>2</v>
      </c>
      <c r="AM158" t="s">
        <v>2</v>
      </c>
      <c r="AN158" t="s">
        <v>23</v>
      </c>
    </row>
    <row r="159" spans="1:40" x14ac:dyDescent="0.25">
      <c r="A159" t="s">
        <v>0</v>
      </c>
      <c r="B159" t="s">
        <v>1</v>
      </c>
      <c r="C159" t="s">
        <v>2</v>
      </c>
      <c r="D159" t="s">
        <v>186</v>
      </c>
      <c r="E159" t="s">
        <v>4</v>
      </c>
      <c r="F159" t="s">
        <v>193</v>
      </c>
      <c r="G159" t="s">
        <v>6</v>
      </c>
      <c r="H159" t="str">
        <f t="shared" si="2"/>
        <v>PXCBC-M65222CAV</v>
      </c>
      <c r="I159" t="s">
        <v>216</v>
      </c>
      <c r="J159" t="s">
        <v>105</v>
      </c>
      <c r="K159" t="s">
        <v>106</v>
      </c>
      <c r="L159" s="2">
        <v>21.35</v>
      </c>
      <c r="M159" s="3">
        <v>9</v>
      </c>
      <c r="N159" t="s">
        <v>169</v>
      </c>
      <c r="O159" s="4">
        <v>46230</v>
      </c>
      <c r="P159" t="s">
        <v>11</v>
      </c>
      <c r="Q159" t="s">
        <v>2</v>
      </c>
      <c r="R159" t="s">
        <v>12</v>
      </c>
      <c r="S159" s="4">
        <v>46230</v>
      </c>
      <c r="T159" t="s">
        <v>13</v>
      </c>
      <c r="U159" t="s">
        <v>2</v>
      </c>
      <c r="V159" t="s">
        <v>14</v>
      </c>
      <c r="W159" t="s">
        <v>15</v>
      </c>
      <c r="X159" t="s">
        <v>16</v>
      </c>
      <c r="Y159" t="s">
        <v>17</v>
      </c>
      <c r="Z159" t="s">
        <v>17</v>
      </c>
      <c r="AA159" t="s">
        <v>18</v>
      </c>
      <c r="AB159" t="s">
        <v>19</v>
      </c>
      <c r="AC159" t="s">
        <v>171</v>
      </c>
      <c r="AD159" t="s">
        <v>150</v>
      </c>
      <c r="AE159" t="s">
        <v>21</v>
      </c>
      <c r="AF159" s="5">
        <v>21.35</v>
      </c>
      <c r="AG159" s="2">
        <v>192.15</v>
      </c>
      <c r="AH159" t="s">
        <v>22</v>
      </c>
      <c r="AI159" s="4">
        <v>46230</v>
      </c>
      <c r="AJ159" s="4">
        <v>46233</v>
      </c>
      <c r="AK159" s="4">
        <v>46230</v>
      </c>
      <c r="AL159" t="s">
        <v>2</v>
      </c>
      <c r="AM159" t="s">
        <v>2</v>
      </c>
      <c r="AN159" t="s">
        <v>23</v>
      </c>
    </row>
    <row r="160" spans="1:40" x14ac:dyDescent="0.25">
      <c r="A160" t="s">
        <v>0</v>
      </c>
      <c r="B160" t="s">
        <v>1</v>
      </c>
      <c r="C160" t="s">
        <v>2</v>
      </c>
      <c r="D160" t="s">
        <v>186</v>
      </c>
      <c r="E160" t="s">
        <v>4</v>
      </c>
      <c r="F160" t="s">
        <v>193</v>
      </c>
      <c r="G160" t="s">
        <v>6</v>
      </c>
      <c r="H160" t="str">
        <f t="shared" si="2"/>
        <v>PXCBC-M65222LZZ</v>
      </c>
      <c r="I160" t="s">
        <v>216</v>
      </c>
      <c r="J160" t="s">
        <v>105</v>
      </c>
      <c r="K160" t="s">
        <v>106</v>
      </c>
      <c r="L160" s="2">
        <v>21.35</v>
      </c>
      <c r="M160" s="3">
        <v>23</v>
      </c>
      <c r="N160" t="s">
        <v>107</v>
      </c>
      <c r="O160" s="4">
        <v>46230</v>
      </c>
      <c r="P160" t="s">
        <v>11</v>
      </c>
      <c r="Q160" t="s">
        <v>2</v>
      </c>
      <c r="R160" t="s">
        <v>12</v>
      </c>
      <c r="S160" s="4">
        <v>46230</v>
      </c>
      <c r="T160" t="s">
        <v>13</v>
      </c>
      <c r="U160" t="s">
        <v>2</v>
      </c>
      <c r="V160" t="s">
        <v>14</v>
      </c>
      <c r="W160" t="s">
        <v>15</v>
      </c>
      <c r="X160" t="s">
        <v>16</v>
      </c>
      <c r="Y160" t="s">
        <v>17</v>
      </c>
      <c r="Z160" t="s">
        <v>17</v>
      </c>
      <c r="AA160" t="s">
        <v>18</v>
      </c>
      <c r="AB160" t="s">
        <v>19</v>
      </c>
      <c r="AC160" t="s">
        <v>108</v>
      </c>
      <c r="AD160" t="s">
        <v>34</v>
      </c>
      <c r="AE160" t="s">
        <v>21</v>
      </c>
      <c r="AF160" s="5">
        <v>21.35</v>
      </c>
      <c r="AG160" s="2">
        <v>491.05</v>
      </c>
      <c r="AH160" t="s">
        <v>22</v>
      </c>
      <c r="AI160" s="4">
        <v>46230</v>
      </c>
      <c r="AJ160" s="4">
        <v>46233</v>
      </c>
      <c r="AK160" s="4">
        <v>46230</v>
      </c>
      <c r="AL160" t="s">
        <v>2</v>
      </c>
      <c r="AM160" t="s">
        <v>2</v>
      </c>
      <c r="AN160" t="s">
        <v>23</v>
      </c>
    </row>
    <row r="161" spans="1:40" x14ac:dyDescent="0.25">
      <c r="A161" t="s">
        <v>0</v>
      </c>
      <c r="B161" t="s">
        <v>1</v>
      </c>
      <c r="C161" t="s">
        <v>2</v>
      </c>
      <c r="D161" t="s">
        <v>186</v>
      </c>
      <c r="E161" t="s">
        <v>4</v>
      </c>
      <c r="F161" t="s">
        <v>193</v>
      </c>
      <c r="G161" t="s">
        <v>6</v>
      </c>
      <c r="H161" t="str">
        <f t="shared" si="2"/>
        <v>PXCBC-M65222CAV</v>
      </c>
      <c r="I161" t="s">
        <v>216</v>
      </c>
      <c r="J161" t="s">
        <v>105</v>
      </c>
      <c r="K161" t="s">
        <v>106</v>
      </c>
      <c r="L161" s="2">
        <v>21.35</v>
      </c>
      <c r="M161" s="3">
        <v>12</v>
      </c>
      <c r="N161" t="s">
        <v>172</v>
      </c>
      <c r="O161" s="4">
        <v>46230</v>
      </c>
      <c r="P161" t="s">
        <v>11</v>
      </c>
      <c r="Q161" t="s">
        <v>2</v>
      </c>
      <c r="R161" t="s">
        <v>12</v>
      </c>
      <c r="S161" s="4">
        <v>46230</v>
      </c>
      <c r="T161" t="s">
        <v>13</v>
      </c>
      <c r="U161" t="s">
        <v>2</v>
      </c>
      <c r="V161" t="s">
        <v>14</v>
      </c>
      <c r="W161" t="s">
        <v>15</v>
      </c>
      <c r="X161" t="s">
        <v>16</v>
      </c>
      <c r="Y161" t="s">
        <v>17</v>
      </c>
      <c r="Z161" t="s">
        <v>17</v>
      </c>
      <c r="AA161" t="s">
        <v>18</v>
      </c>
      <c r="AB161" t="s">
        <v>19</v>
      </c>
      <c r="AC161" t="s">
        <v>108</v>
      </c>
      <c r="AD161" t="s">
        <v>143</v>
      </c>
      <c r="AE161" t="s">
        <v>21</v>
      </c>
      <c r="AF161" s="5">
        <v>21.35</v>
      </c>
      <c r="AG161" s="2">
        <v>256.2</v>
      </c>
      <c r="AH161" t="s">
        <v>22</v>
      </c>
      <c r="AI161" s="4">
        <v>46230</v>
      </c>
      <c r="AJ161" s="4">
        <v>46233</v>
      </c>
      <c r="AK161" s="4">
        <v>46230</v>
      </c>
      <c r="AL161" t="s">
        <v>2</v>
      </c>
      <c r="AM161" t="s">
        <v>2</v>
      </c>
      <c r="AN161" t="s">
        <v>23</v>
      </c>
    </row>
    <row r="162" spans="1:40" x14ac:dyDescent="0.25">
      <c r="A162" t="s">
        <v>0</v>
      </c>
      <c r="B162" t="s">
        <v>1</v>
      </c>
      <c r="C162" t="s">
        <v>2</v>
      </c>
      <c r="D162" t="s">
        <v>186</v>
      </c>
      <c r="E162" t="s">
        <v>4</v>
      </c>
      <c r="F162" t="s">
        <v>193</v>
      </c>
      <c r="G162" t="s">
        <v>6</v>
      </c>
      <c r="H162" t="str">
        <f t="shared" si="2"/>
        <v>PXCBC-M65222LZZ</v>
      </c>
      <c r="I162" t="s">
        <v>216</v>
      </c>
      <c r="J162" t="s">
        <v>105</v>
      </c>
      <c r="K162" t="s">
        <v>106</v>
      </c>
      <c r="L162" s="2">
        <v>21.35</v>
      </c>
      <c r="M162" s="3">
        <v>14</v>
      </c>
      <c r="N162" t="s">
        <v>156</v>
      </c>
      <c r="O162" s="4">
        <v>46230</v>
      </c>
      <c r="P162" t="s">
        <v>11</v>
      </c>
      <c r="Q162" t="s">
        <v>2</v>
      </c>
      <c r="R162" t="s">
        <v>12</v>
      </c>
      <c r="S162" s="4">
        <v>46230</v>
      </c>
      <c r="T162" t="s">
        <v>13</v>
      </c>
      <c r="U162" t="s">
        <v>2</v>
      </c>
      <c r="V162" t="s">
        <v>14</v>
      </c>
      <c r="W162" t="s">
        <v>15</v>
      </c>
      <c r="X162" t="s">
        <v>16</v>
      </c>
      <c r="Y162" t="s">
        <v>17</v>
      </c>
      <c r="Z162" t="s">
        <v>17</v>
      </c>
      <c r="AA162" t="s">
        <v>18</v>
      </c>
      <c r="AB162" t="s">
        <v>19</v>
      </c>
      <c r="AC162" t="s">
        <v>157</v>
      </c>
      <c r="AD162" t="s">
        <v>12</v>
      </c>
      <c r="AE162" t="s">
        <v>21</v>
      </c>
      <c r="AF162" s="5">
        <v>21.35</v>
      </c>
      <c r="AG162" s="2">
        <v>298.89999999999998</v>
      </c>
      <c r="AH162" t="s">
        <v>22</v>
      </c>
      <c r="AI162" s="4">
        <v>46230</v>
      </c>
      <c r="AJ162" s="4">
        <v>46233</v>
      </c>
      <c r="AK162" s="4">
        <v>46230</v>
      </c>
      <c r="AL162" t="s">
        <v>2</v>
      </c>
      <c r="AM162" t="s">
        <v>2</v>
      </c>
      <c r="AN162" t="s">
        <v>23</v>
      </c>
    </row>
    <row r="163" spans="1:40" x14ac:dyDescent="0.25">
      <c r="A163" t="s">
        <v>0</v>
      </c>
      <c r="B163" t="s">
        <v>1</v>
      </c>
      <c r="C163" t="s">
        <v>2</v>
      </c>
      <c r="D163" t="s">
        <v>186</v>
      </c>
      <c r="E163" t="s">
        <v>4</v>
      </c>
      <c r="F163" t="s">
        <v>193</v>
      </c>
      <c r="G163" t="s">
        <v>6</v>
      </c>
      <c r="H163" t="str">
        <f t="shared" si="2"/>
        <v>PXCBC-M65222CAV</v>
      </c>
      <c r="I163" t="s">
        <v>216</v>
      </c>
      <c r="J163" t="s">
        <v>105</v>
      </c>
      <c r="K163" t="s">
        <v>106</v>
      </c>
      <c r="L163" s="2">
        <v>21.35</v>
      </c>
      <c r="M163" s="3">
        <v>7</v>
      </c>
      <c r="N163" t="s">
        <v>173</v>
      </c>
      <c r="O163" s="4">
        <v>46230</v>
      </c>
      <c r="P163" t="s">
        <v>11</v>
      </c>
      <c r="Q163" t="s">
        <v>2</v>
      </c>
      <c r="R163" t="s">
        <v>12</v>
      </c>
      <c r="S163" s="4">
        <v>46230</v>
      </c>
      <c r="T163" t="s">
        <v>13</v>
      </c>
      <c r="U163" t="s">
        <v>2</v>
      </c>
      <c r="V163" t="s">
        <v>14</v>
      </c>
      <c r="W163" t="s">
        <v>15</v>
      </c>
      <c r="X163" t="s">
        <v>16</v>
      </c>
      <c r="Y163" t="s">
        <v>17</v>
      </c>
      <c r="Z163" t="s">
        <v>17</v>
      </c>
      <c r="AA163" t="s">
        <v>18</v>
      </c>
      <c r="AB163" t="s">
        <v>19</v>
      </c>
      <c r="AC163" t="s">
        <v>157</v>
      </c>
      <c r="AD163" t="s">
        <v>88</v>
      </c>
      <c r="AE163" t="s">
        <v>21</v>
      </c>
      <c r="AF163" s="5">
        <v>21.35</v>
      </c>
      <c r="AG163" s="2">
        <v>149.44999999999999</v>
      </c>
      <c r="AH163" t="s">
        <v>22</v>
      </c>
      <c r="AI163" s="4">
        <v>46230</v>
      </c>
      <c r="AJ163" s="4">
        <v>46233</v>
      </c>
      <c r="AK163" s="4">
        <v>46230</v>
      </c>
      <c r="AL163" t="s">
        <v>2</v>
      </c>
      <c r="AM163" t="s">
        <v>2</v>
      </c>
      <c r="AN163" t="s">
        <v>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LCT</vt:lpstr>
      <vt:lpstr>Prix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SAP WebAS</dc:creator>
  <cp:lastModifiedBy>Coralie PIERRE</cp:lastModifiedBy>
  <dcterms:modified xsi:type="dcterms:W3CDTF">2026-08-19T15:29:41Z</dcterms:modified>
  <cp:revision>1</cp:revision>
</cp:coreProperties>
</file>