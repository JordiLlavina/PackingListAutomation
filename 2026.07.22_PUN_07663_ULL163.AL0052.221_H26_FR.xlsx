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ocumentos\PACKING\AMI\"/>
    </mc:Choice>
  </mc:AlternateContent>
  <xr:revisionPtr revIDLastSave="0" documentId="13_ncr:1_{31ABF2FF-3AD6-4D74-87FC-E3A4CEE93AD9}" xr6:coauthVersionLast="47" xr6:coauthVersionMax="47" xr10:uidLastSave="{00000000-0000-0000-0000-000000000000}"/>
  <bookViews>
    <workbookView xWindow="28680" yWindow="-120" windowWidth="29040" windowHeight="15720" firstSheet="1" activeTab="1" xr2:uid="{45DCC601-7994-45BE-A50B-23B00720DAD6}"/>
  </bookViews>
  <sheets>
    <sheet name="Tableau1" sheetId="2" state="hidden" r:id="rId1"/>
    <sheet name="STANDARD PKL H26" sheetId="1" r:id="rId2"/>
    <sheet name="Feuil1" sheetId="3" state="hidden" r:id="rId3"/>
  </sheets>
  <definedNames>
    <definedName name="_xlnm.Print_Area" localSheetId="1">'STANDARD PKL H26'!$A$1:$V$99</definedName>
    <definedName name="DonnéesExternes_1" localSheetId="0" hidden="1">Tableau1!$A$1:$A$4</definedName>
    <definedName name="_xlnm.Print_Titles" localSheetId="1">'STANDARD PKL H26'!$1:$19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89" i="1" l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H91" i="1"/>
  <c r="I91" i="1"/>
  <c r="J91" i="1"/>
  <c r="K91" i="1"/>
  <c r="L91" i="1"/>
  <c r="M91" i="1"/>
  <c r="N91" i="1"/>
  <c r="O91" i="1"/>
  <c r="P91" i="1"/>
  <c r="Q91" i="1"/>
  <c r="R91" i="1"/>
  <c r="G91" i="1"/>
  <c r="S20" i="1"/>
  <c r="U91" i="1"/>
  <c r="V97" i="1" s="1"/>
  <c r="V91" i="1"/>
  <c r="V96" i="1" s="1"/>
  <c r="S91" i="1" l="1"/>
  <c r="V9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FB85B6-1226-487C-AA57-7CF9D0EA379C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<sst xmlns="http://schemas.openxmlformats.org/spreadsheetml/2006/main" count="580" uniqueCount="137">
  <si>
    <t>ORDER FORM NUMBER</t>
  </si>
  <si>
    <t>INVOICE NUMBER</t>
  </si>
  <si>
    <t>DATE OF INVOICE</t>
  </si>
  <si>
    <t>REFERENCE</t>
  </si>
  <si>
    <t>XXS</t>
  </si>
  <si>
    <t>XS</t>
  </si>
  <si>
    <t>S</t>
  </si>
  <si>
    <t>M</t>
  </si>
  <si>
    <t>L</t>
  </si>
  <si>
    <t>XL</t>
  </si>
  <si>
    <t>XXL</t>
  </si>
  <si>
    <t>XXXL</t>
  </si>
  <si>
    <t>SIZE OF BOX</t>
  </si>
  <si>
    <t>39</t>
  </si>
  <si>
    <t>40</t>
  </si>
  <si>
    <t>41</t>
  </si>
  <si>
    <t>42</t>
  </si>
  <si>
    <t>QNTY TOTAL</t>
  </si>
  <si>
    <t>NET.W/KGS</t>
  </si>
  <si>
    <t>GROSS.W/KGS</t>
  </si>
  <si>
    <t>CITY</t>
  </si>
  <si>
    <t>COUNTRY</t>
  </si>
  <si>
    <t>SUPPLIER NAME</t>
  </si>
  <si>
    <t>color CODE</t>
  </si>
  <si>
    <t>SUPPLIER CODE</t>
  </si>
  <si>
    <t>VSH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</si>
  <si>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</si>
  <si>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</si>
  <si>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</si>
  <si>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</si>
  <si>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</si>
  <si>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</si>
  <si>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</si>
  <si>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</si>
  <si>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</si>
  <si>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SML</t>
  </si>
  <si>
    <t>XXXXL</t>
  </si>
  <si>
    <t>U</t>
  </si>
  <si>
    <t>SOU</t>
  </si>
  <si>
    <t>35</t>
  </si>
  <si>
    <t>36</t>
  </si>
  <si>
    <t>37</t>
  </si>
  <si>
    <t>38</t>
  </si>
  <si>
    <t>43</t>
  </si>
  <si>
    <t>45</t>
  </si>
  <si>
    <t>SEASON</t>
  </si>
  <si>
    <t>CHINA</t>
  </si>
  <si>
    <t>JAPAN</t>
  </si>
  <si>
    <t>SIZE GRID</t>
  </si>
  <si>
    <t>Colonne1</t>
  </si>
  <si>
    <t>do not change lines ORDER</t>
  </si>
  <si>
    <t>DATE OF SHIPMENT</t>
  </si>
  <si>
    <t>Licence number</t>
  </si>
  <si>
    <r>
      <t xml:space="preserve">PACKING LIST </t>
    </r>
    <r>
      <rPr>
        <b/>
        <i/>
        <sz val="18"/>
        <color theme="5" tint="0.59999389629810485"/>
        <rFont val="Calibri"/>
        <family val="2"/>
        <scheme val="minor"/>
      </rPr>
      <t>(1 packing list per order number)</t>
    </r>
  </si>
  <si>
    <t>France</t>
  </si>
  <si>
    <r>
      <t>DESTINATION</t>
    </r>
    <r>
      <rPr>
        <b/>
        <sz val="11"/>
        <color rgb="FFFF0000"/>
        <rFont val="Calibri"/>
        <family val="2"/>
        <scheme val="minor"/>
      </rPr>
      <t>*</t>
    </r>
  </si>
  <si>
    <t>* only 1 destination per PKL</t>
  </si>
  <si>
    <t>CERTIFICATION #1</t>
  </si>
  <si>
    <t>CERTIFICATION #2</t>
  </si>
  <si>
    <t>TOTAL QTY</t>
  </si>
  <si>
    <t>VOLUME</t>
  </si>
  <si>
    <t>SUM UP</t>
  </si>
  <si>
    <t>OF BOXES</t>
  </si>
  <si>
    <t xml:space="preserve">TOTAL GROSS </t>
  </si>
  <si>
    <t>WEIGHT</t>
  </si>
  <si>
    <t xml:space="preserve">TOTAL NET </t>
  </si>
  <si>
    <t xml:space="preserve">TOTAL NUMBER </t>
  </si>
  <si>
    <t>choose grid size and right it column "F"</t>
  </si>
  <si>
    <r>
      <t xml:space="preserve">CTN NO. 
</t>
    </r>
    <r>
      <rPr>
        <b/>
        <i/>
        <sz val="9"/>
        <color rgb="FFFFC000"/>
        <rFont val="Calibri"/>
        <family val="2"/>
        <scheme val="minor"/>
      </rPr>
      <t>1 line per box</t>
    </r>
  </si>
  <si>
    <t>OTHER</t>
  </si>
  <si>
    <t>35-38</t>
  </si>
  <si>
    <t>39-42</t>
  </si>
  <si>
    <t>43-46</t>
  </si>
  <si>
    <t>DESTINATION</t>
  </si>
  <si>
    <t>China</t>
  </si>
  <si>
    <t>Hong Kong</t>
  </si>
  <si>
    <t>Japan</t>
  </si>
  <si>
    <t>H26</t>
  </si>
  <si>
    <t>PUNTOTRES</t>
  </si>
  <si>
    <t>BADALONA</t>
  </si>
  <si>
    <t>SPAIN</t>
  </si>
  <si>
    <t>PUN</t>
  </si>
  <si>
    <t>60x40x40</t>
  </si>
  <si>
    <t>ULL163.AL0052</t>
  </si>
  <si>
    <t>15</t>
  </si>
  <si>
    <t>16</t>
  </si>
  <si>
    <t>17</t>
  </si>
  <si>
    <t>18</t>
  </si>
  <si>
    <t>07663</t>
  </si>
  <si>
    <t>221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</si>
  <si>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</si>
  <si>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</si>
  <si>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</si>
  <si>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</si>
  <si>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</si>
  <si>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</si>
  <si>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</si>
  <si>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</si>
  <si>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</si>
  <si>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</si>
  <si>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</si>
  <si>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</si>
  <si>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</si>
  <si>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</si>
  <si>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</si>
  <si>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</si>
  <si>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47</t>
  </si>
  <si>
    <t>49</t>
  </si>
  <si>
    <t>51</t>
  </si>
  <si>
    <t>53</t>
  </si>
  <si>
    <t>55</t>
  </si>
  <si>
    <t>57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</si>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</sst>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0&quot;0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8"/>
      <color theme="5" tint="0.59999389629810485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9"/>
      <color rgb="FFFFC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3" xfId="0" applyNumberFormat="1" applyBorder="1"/>
    <xf numFmtId="0" fontId="0" fillId="0" borderId="3" xfId="0" applyBorder="1"/>
    <xf numFmtId="4" fontId="0" fillId="0" borderId="3" xfId="0" applyNumberFormat="1" applyBorder="1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49" fontId="6" fillId="3" borderId="2" xfId="0" applyNumberFormat="1" applyFont="1" applyFill="1" applyBorder="1"/>
    <xf numFmtId="0" fontId="6" fillId="3" borderId="1" xfId="0" applyFont="1" applyFill="1" applyBorder="1"/>
    <xf numFmtId="4" fontId="6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0" fillId="0" borderId="0" xfId="0" applyAlignment="1">
      <alignment horizontal="left" vertical="center"/>
    </xf>
    <xf numFmtId="0" fontId="0" fillId="0" borderId="12" xfId="0" applyBorder="1"/>
    <xf numFmtId="0" fontId="6" fillId="3" borderId="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49" fontId="0" fillId="0" borderId="7" xfId="0" applyNumberFormat="1" applyBorder="1"/>
    <xf numFmtId="0" fontId="6" fillId="3" borderId="2" xfId="0" applyFont="1" applyFill="1" applyBorder="1"/>
    <xf numFmtId="0" fontId="0" fillId="0" borderId="6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0" fillId="0" borderId="6" xfId="0" applyNumberForma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6" fillId="3" borderId="6" xfId="0" applyFont="1" applyFill="1" applyBorder="1"/>
    <xf numFmtId="49" fontId="10" fillId="3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/>
    <xf numFmtId="49" fontId="2" fillId="6" borderId="0" xfId="0" applyNumberFormat="1" applyFont="1" applyFill="1"/>
    <xf numFmtId="0" fontId="0" fillId="6" borderId="0" xfId="0" applyFill="1"/>
    <xf numFmtId="0" fontId="2" fillId="5" borderId="0" xfId="0" applyFont="1" applyFill="1"/>
    <xf numFmtId="49" fontId="13" fillId="0" borderId="0" xfId="0" applyNumberFormat="1" applyFont="1"/>
    <xf numFmtId="0" fontId="1" fillId="3" borderId="16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1" fillId="3" borderId="17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164" fontId="2" fillId="0" borderId="15" xfId="0" applyNumberFormat="1" applyFont="1" applyBorder="1" applyAlignment="1">
      <alignment horizontal="center"/>
    </xf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10" fillId="0" borderId="0" xfId="0" applyFont="1" applyAlignment="1">
      <alignment horizontal="right"/>
    </xf>
    <xf numFmtId="0" fontId="9" fillId="3" borderId="5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49" fontId="7" fillId="0" borderId="0" xfId="0" applyNumberFormat="1" applyFon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4" fontId="0" fillId="2" borderId="0" xfId="0" applyNumberFormat="1" applyFill="1"/>
    <xf numFmtId="14" fontId="0" fillId="0" borderId="0" xfId="0" applyNumberFormat="1"/>
    <xf numFmtId="165" fontId="0" fillId="0" borderId="0" xfId="0" applyNumberFormat="1"/>
    <xf numFmtId="49" fontId="2" fillId="5" borderId="0" xfId="0" applyNumberFormat="1" applyFont="1" applyFill="1"/>
    <xf numFmtId="14" fontId="2" fillId="0" borderId="0" xfId="0" applyNumberFormat="1" applyFont="1"/>
    <xf numFmtId="0" fontId="9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7" borderId="0" xfId="0" applyFont="1" applyFill="1"/>
    <xf numFmtId="49" fontId="14" fillId="0" borderId="4" xfId="0" applyNumberFormat="1" applyFont="1" applyBorder="1"/>
    <xf numFmtId="49" fontId="0" fillId="0" borderId="21" xfId="0" applyNumberFormat="1" applyBorder="1"/>
    <xf numFmtId="49" fontId="0" fillId="0" borderId="22" xfId="0" applyNumberFormat="1" applyBorder="1"/>
    <xf numFmtId="49" fontId="0" fillId="0" borderId="23" xfId="0" applyNumberFormat="1" applyBorder="1"/>
    <xf numFmtId="49" fontId="1" fillId="3" borderId="6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/>
    <xf numFmtId="0" fontId="0" fillId="0" borderId="22" xfId="0" applyBorder="1" applyAlignment="1">
      <alignment horizontal="center"/>
    </xf>
    <xf numFmtId="0" fontId="1" fillId="3" borderId="2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49" fontId="7" fillId="4" borderId="4" xfId="0" applyNumberFormat="1" applyFont="1" applyFill="1" applyBorder="1" applyAlignment="1">
      <alignment horizontal="center"/>
    </xf>
    <xf numFmtId="49" fontId="7" fillId="4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1015316</xdr:colOff>
      <xdr:row>1</xdr:row>
      <xdr:rowOff>52294</xdr:rowOff>
    </xdr:from>
    <xdr:to>
      <xdr:col>22</xdr:col>
      <xdr:colOff>2009</xdr:colOff>
      <xdr:row>8</xdr:row>
      <xdr:rowOff>11206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E17CC2-9435-4388-98BC-92F536F09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63" y="343647"/>
          <a:ext cx="1808335" cy="1281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9165965-57E7-4B30-936A-4360630242EE}" autoFormatId="16" applyNumberFormats="0" applyBorderFormats="0" applyFontFormats="0" applyPatternFormats="0" applyAlignmentFormats="0" applyWidthHeightFormats="0">
  <queryTableRefresh nextId="2">
    <queryTableFields count="1">
      <queryTableField id="1" name="Colonne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3B717B-C88F-4F62-8F26-C2D4860E8510}" name="Tableau1_1" displayName="Tableau1_1" ref="A1:A4" tableType="queryTable" totalsRowShown="0">
  <autoFilter ref="A1:A4" xr:uid="{2C3B717B-C88F-4F62-8F26-C2D4860E8510}"/>
  <tableColumns count="1">
    <tableColumn id="1" xr3:uid="{E473647D-E9FA-4649-B96C-DE5725386C9F}" uniqueName="1" name="Colonne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A86B-B025-463C-815F-AB235C069C5A}">
  <dimension ref="A1:A4"/>
  <sheetViews>
    <sheetView workbookViewId="0"/>
  </sheetViews>
  <sheetFormatPr baseColWidth="10" defaultRowHeight="15" x14ac:dyDescent="0.25"/>
  <cols>
    <col min="1" max="1" width="11.7109375" bestFit="1" customWidth="1"/>
  </cols>
  <sheetData>
    <row r="1" spans="1:1" x14ac:dyDescent="0.25">
      <c r="A1" t="s">
        <v>49</v>
      </c>
    </row>
    <row r="2" spans="1:1" x14ac:dyDescent="0.25">
      <c r="A2" t="s">
        <v>54</v>
      </c>
    </row>
    <row r="3" spans="1:1" x14ac:dyDescent="0.25">
      <c r="A3" t="s">
        <v>46</v>
      </c>
    </row>
    <row r="4" spans="1:1" x14ac:dyDescent="0.25">
      <c r="A4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3DAC-B396-42A1-96F9-799421DAEAE2}">
  <dimension ref="A1:AA110"/>
  <sheetViews>
    <sheetView tabSelected="1" topLeftCell="A38" zoomScale="85" zoomScaleNormal="85" workbookViewId="0">
      <selection activeCell="N100" sqref="N100"/>
    </sheetView>
  </sheetViews>
  <sheetFormatPr baseColWidth="10" defaultRowHeight="15" x14ac:dyDescent="0.25"/>
  <cols>
    <col min="1" max="1" width="18.28515625" style="2" customWidth="1"/>
    <col min="2" max="2" width="14.28515625" style="2" customWidth="1"/>
    <col min="3" max="3" width="16.42578125" style="2" customWidth="1"/>
    <col min="4" max="4" width="13" customWidth="1"/>
    <col min="5" max="5" width="12.28515625" customWidth="1"/>
    <col min="6" max="6" width="8.5703125" customWidth="1"/>
    <col min="7" max="7" width="7.7109375" customWidth="1"/>
    <col min="8" max="11" width="6.7109375" customWidth="1"/>
    <col min="12" max="12" width="6.140625" customWidth="1"/>
    <col min="13" max="13" width="6.28515625" customWidth="1"/>
    <col min="14" max="14" width="6.85546875" style="4" customWidth="1"/>
    <col min="15" max="15" width="6.85546875" customWidth="1"/>
    <col min="16" max="16" width="8.42578125" customWidth="1"/>
    <col min="17" max="17" width="6" customWidth="1"/>
    <col min="18" max="18" width="5.5703125" customWidth="1"/>
    <col min="19" max="19" width="9" customWidth="1"/>
    <col min="20" max="20" width="15.7109375" customWidth="1"/>
    <col min="21" max="21" width="15.42578125" customWidth="1"/>
    <col min="22" max="22" width="10.85546875" customWidth="1"/>
    <col min="23" max="23" width="10.42578125" customWidth="1"/>
  </cols>
  <sheetData>
    <row r="1" spans="1:23" ht="23.25" x14ac:dyDescent="0.35">
      <c r="A1" s="76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53"/>
    </row>
    <row r="2" spans="1:23" x14ac:dyDescent="0.25">
      <c r="T2" s="4"/>
      <c r="U2" s="4"/>
    </row>
    <row r="3" spans="1:23" x14ac:dyDescent="0.25">
      <c r="A3" s="3" t="s">
        <v>22</v>
      </c>
      <c r="B3" s="54" t="s">
        <v>78</v>
      </c>
      <c r="C3" s="55"/>
      <c r="D3" s="3" t="s">
        <v>20</v>
      </c>
      <c r="E3" s="54" t="s">
        <v>79</v>
      </c>
    </row>
    <row r="4" spans="1:23" x14ac:dyDescent="0.25">
      <c r="A4" s="3" t="s">
        <v>24</v>
      </c>
      <c r="B4" s="54" t="s">
        <v>81</v>
      </c>
      <c r="C4" s="55"/>
      <c r="D4" s="3" t="s">
        <v>21</v>
      </c>
      <c r="E4" s="54" t="s">
        <v>80</v>
      </c>
    </row>
    <row r="5" spans="1:23" ht="14.25" customHeight="1" x14ac:dyDescent="0.25">
      <c r="C5" s="55"/>
    </row>
    <row r="6" spans="1:23" x14ac:dyDescent="0.25">
      <c r="A6" s="3" t="s">
        <v>1</v>
      </c>
      <c r="B6" s="54"/>
      <c r="C6" s="55"/>
    </row>
    <row r="7" spans="1:23" x14ac:dyDescent="0.25">
      <c r="A7" s="3" t="s">
        <v>2</v>
      </c>
      <c r="B7" s="56">
        <v>46224</v>
      </c>
      <c r="C7" s="57"/>
      <c r="G7" s="58"/>
    </row>
    <row r="9" spans="1:23" x14ac:dyDescent="0.25">
      <c r="A9" s="59" t="s">
        <v>51</v>
      </c>
      <c r="B9" s="60">
        <v>46225</v>
      </c>
    </row>
    <row r="10" spans="1:23" x14ac:dyDescent="0.25">
      <c r="A10" s="38" t="s">
        <v>55</v>
      </c>
      <c r="B10" t="s">
        <v>54</v>
      </c>
    </row>
    <row r="11" spans="1:23" x14ac:dyDescent="0.25">
      <c r="A11" s="39" t="s">
        <v>56</v>
      </c>
      <c r="B11"/>
    </row>
    <row r="12" spans="1:23" x14ac:dyDescent="0.25">
      <c r="B12"/>
    </row>
    <row r="13" spans="1:23" ht="15.75" customHeight="1" thickBot="1" x14ac:dyDescent="0.3">
      <c r="B13"/>
    </row>
    <row r="14" spans="1:23" ht="15.75" x14ac:dyDescent="0.25">
      <c r="C14"/>
      <c r="F14" s="23" t="s">
        <v>25</v>
      </c>
      <c r="G14" s="19" t="s">
        <v>14</v>
      </c>
      <c r="H14" s="19" t="s">
        <v>16</v>
      </c>
      <c r="I14" s="19" t="s">
        <v>26</v>
      </c>
      <c r="J14" s="19" t="s">
        <v>27</v>
      </c>
      <c r="K14" s="19" t="s">
        <v>28</v>
      </c>
      <c r="L14" s="19" t="s">
        <v>29</v>
      </c>
      <c r="M14" s="19" t="s">
        <v>30</v>
      </c>
      <c r="N14" s="19" t="s">
        <v>31</v>
      </c>
      <c r="O14" s="19" t="s">
        <v>32</v>
      </c>
      <c r="P14" s="19" t="s">
        <v>33</v>
      </c>
      <c r="Q14" s="19" t="s">
        <v>34</v>
      </c>
      <c r="R14" s="20"/>
    </row>
    <row r="15" spans="1:23" ht="15.75" x14ac:dyDescent="0.25">
      <c r="A15"/>
      <c r="C15"/>
      <c r="F15" s="24" t="s">
        <v>35</v>
      </c>
      <c r="G15" s="21" t="s">
        <v>4</v>
      </c>
      <c r="H15" s="21" t="s">
        <v>5</v>
      </c>
      <c r="I15" s="21" t="s">
        <v>6</v>
      </c>
      <c r="J15" s="21" t="s">
        <v>7</v>
      </c>
      <c r="K15" s="21" t="s">
        <v>8</v>
      </c>
      <c r="L15" s="21" t="s">
        <v>9</v>
      </c>
      <c r="M15" s="21" t="s">
        <v>10</v>
      </c>
      <c r="N15" s="21" t="s">
        <v>11</v>
      </c>
      <c r="O15" s="21" t="s">
        <v>36</v>
      </c>
      <c r="Q15" s="4"/>
      <c r="R15" s="22"/>
    </row>
    <row r="16" spans="1:23" ht="15.75" x14ac:dyDescent="0.25">
      <c r="C16"/>
      <c r="F16" s="24" t="s">
        <v>37</v>
      </c>
      <c r="G16" s="21" t="s">
        <v>37</v>
      </c>
      <c r="N16"/>
      <c r="Q16" s="4"/>
      <c r="R16" s="22"/>
    </row>
    <row r="17" spans="1:27" ht="16.5" thickBot="1" x14ac:dyDescent="0.3">
      <c r="B17" s="35"/>
      <c r="C17"/>
      <c r="E17" s="50"/>
      <c r="F17" s="25" t="s">
        <v>38</v>
      </c>
      <c r="G17" s="21" t="s">
        <v>39</v>
      </c>
      <c r="H17" t="s">
        <v>40</v>
      </c>
      <c r="I17" t="s">
        <v>41</v>
      </c>
      <c r="J17" t="s">
        <v>42</v>
      </c>
      <c r="K17" t="s">
        <v>13</v>
      </c>
      <c r="L17" t="s">
        <v>14</v>
      </c>
      <c r="M17" t="s">
        <v>15</v>
      </c>
      <c r="N17" t="s">
        <v>16</v>
      </c>
      <c r="O17" t="s">
        <v>43</v>
      </c>
      <c r="P17" t="s">
        <v>26</v>
      </c>
      <c r="Q17" s="4" t="s">
        <v>44</v>
      </c>
      <c r="R17" s="22" t="s">
        <v>27</v>
      </c>
      <c r="T17" s="35" t="s">
        <v>50</v>
      </c>
    </row>
    <row r="18" spans="1:27" ht="15.75" x14ac:dyDescent="0.25">
      <c r="C18"/>
      <c r="F18" s="24" t="s">
        <v>69</v>
      </c>
      <c r="G18" s="21" t="s">
        <v>70</v>
      </c>
      <c r="H18" t="s">
        <v>71</v>
      </c>
      <c r="I18" t="s">
        <v>72</v>
      </c>
      <c r="N18"/>
      <c r="Q18" s="4"/>
      <c r="R18" s="22"/>
    </row>
    <row r="19" spans="1:27" s="9" customFormat="1" ht="46.5" customHeight="1" x14ac:dyDescent="0.25">
      <c r="A19" s="15" t="s">
        <v>45</v>
      </c>
      <c r="B19" s="70" t="s">
        <v>0</v>
      </c>
      <c r="C19" s="15" t="s">
        <v>3</v>
      </c>
      <c r="D19" s="15" t="s">
        <v>23</v>
      </c>
      <c r="E19" s="34" t="s">
        <v>68</v>
      </c>
      <c r="F19" s="51" t="s">
        <v>48</v>
      </c>
      <c r="G19" s="52" t="s">
        <v>67</v>
      </c>
      <c r="H19" s="17"/>
      <c r="I19" s="18"/>
      <c r="J19" s="17"/>
      <c r="K19" s="18"/>
      <c r="L19" s="17"/>
      <c r="M19" s="18"/>
      <c r="N19" s="17"/>
      <c r="O19" s="18"/>
      <c r="P19" s="17"/>
      <c r="Q19" s="18"/>
      <c r="R19" s="17"/>
      <c r="S19" s="73" t="s">
        <v>17</v>
      </c>
      <c r="T19" s="16" t="s">
        <v>12</v>
      </c>
      <c r="U19" s="16" t="s">
        <v>18</v>
      </c>
      <c r="V19" s="16" t="s">
        <v>19</v>
      </c>
      <c r="Y19"/>
      <c r="AA19"/>
    </row>
    <row r="20" spans="1:27" ht="15.75" x14ac:dyDescent="0.25">
      <c r="A20" s="66" t="s">
        <v>77</v>
      </c>
      <c r="B20" s="30" t="s">
        <v>88</v>
      </c>
      <c r="C20" s="68" t="s">
        <v>83</v>
      </c>
      <c r="D20" s="6" t="s">
        <v>89</v>
      </c>
      <c r="E20" s="6" t="s">
        <v>84</v>
      </c>
      <c r="F20" s="7" t="s">
        <v>37</v>
      </c>
      <c r="G20" s="32">
        <v>5</v>
      </c>
      <c r="H20" s="31"/>
      <c r="I20" s="32"/>
      <c r="J20" s="31"/>
      <c r="K20" s="32"/>
      <c r="L20" s="31"/>
      <c r="M20" s="32"/>
      <c r="N20" s="31"/>
      <c r="O20" s="32"/>
      <c r="P20" s="31"/>
      <c r="Q20" s="32"/>
      <c r="R20" s="31"/>
      <c r="S20" s="28">
        <f t="shared" ref="S20" si="0">SUM(F20:R20)</f>
        <v>5</v>
      </c>
      <c r="T20" s="72" t="s">
        <v>82</v>
      </c>
      <c r="U20" s="8">
        <v>4</v>
      </c>
      <c r="V20" s="8">
        <v>5.28</v>
      </c>
      <c r="Y20" s="9"/>
      <c r="AA20" s="9"/>
    </row>
    <row r="21" spans="1:27" ht="15.75" x14ac:dyDescent="0.25">
      <c r="A21" s="66" t="s">
        <v>77</v>
      </c>
      <c r="B21" s="6" t="s">
        <v>88</v>
      </c>
      <c r="C21" s="68" t="s">
        <v>83</v>
      </c>
      <c r="D21" s="6" t="s">
        <v>89</v>
      </c>
      <c r="E21" s="6" t="s">
        <v>85</v>
      </c>
      <c r="F21" s="7" t="s">
        <v>37</v>
      </c>
      <c r="G21" s="32">
        <v>5</v>
      </c>
      <c r="H21" s="31"/>
      <c r="I21" s="32"/>
      <c r="J21" s="31"/>
      <c r="K21" s="32"/>
      <c r="L21" s="31"/>
      <c r="M21" s="32"/>
      <c r="N21" s="31"/>
      <c r="O21" s="32"/>
      <c r="P21" s="31"/>
      <c r="Q21" s="32"/>
      <c r="R21" s="31"/>
      <c r="S21" s="28">
        <f t="shared" ref="S21:S24" si="1">SUM(F21:R21)</f>
        <v>5</v>
      </c>
      <c r="T21" s="72" t="s">
        <v>82</v>
      </c>
      <c r="U21" s="8">
        <v>4</v>
      </c>
      <c r="V21" s="8">
        <v>5.28</v>
      </c>
      <c r="Y21" s="9"/>
      <c r="AA21" s="9"/>
    </row>
    <row r="22" spans="1:27" ht="15.75" x14ac:dyDescent="0.25">
      <c r="A22" s="66" t="s">
        <v>77</v>
      </c>
      <c r="B22" s="6" t="s">
        <v>88</v>
      </c>
      <c r="C22" s="68" t="s">
        <v>83</v>
      </c>
      <c r="D22" s="6" t="s">
        <v>89</v>
      </c>
      <c r="E22" s="6" t="s">
        <v>86</v>
      </c>
      <c r="F22" s="7" t="s">
        <v>37</v>
      </c>
      <c r="G22" s="32">
        <v>5</v>
      </c>
      <c r="H22" s="31"/>
      <c r="I22" s="32"/>
      <c r="J22" s="31"/>
      <c r="K22" s="32"/>
      <c r="L22" s="31"/>
      <c r="M22" s="32"/>
      <c r="N22" s="31"/>
      <c r="O22" s="32"/>
      <c r="P22" s="31"/>
      <c r="Q22" s="32"/>
      <c r="R22" s="31"/>
      <c r="S22" s="28">
        <f t="shared" si="1"/>
        <v>5</v>
      </c>
      <c r="T22" s="72" t="s">
        <v>82</v>
      </c>
      <c r="U22" s="8">
        <v>4</v>
      </c>
      <c r="V22" s="8">
        <v>5.28</v>
      </c>
      <c r="Y22" s="9"/>
      <c r="AA22" s="9"/>
    </row>
    <row r="23" spans="1:27" ht="15.75" x14ac:dyDescent="0.25">
      <c r="A23" s="66" t="s">
        <v>77</v>
      </c>
      <c r="B23" s="6" t="s">
        <v>88</v>
      </c>
      <c r="C23" s="68" t="s">
        <v>83</v>
      </c>
      <c r="D23" s="6" t="s">
        <v>89</v>
      </c>
      <c r="E23" s="6" t="s">
        <v>87</v>
      </c>
      <c r="F23" s="7" t="s">
        <v>37</v>
      </c>
      <c r="G23" s="32">
        <v>5</v>
      </c>
      <c r="H23" s="31"/>
      <c r="I23" s="32"/>
      <c r="J23" s="31"/>
      <c r="K23" s="32"/>
      <c r="L23" s="31"/>
      <c r="M23" s="32"/>
      <c r="N23" s="31"/>
      <c r="O23" s="32"/>
      <c r="P23" s="31"/>
      <c r="Q23" s="32"/>
      <c r="R23" s="31"/>
      <c r="S23" s="28">
        <f t="shared" si="1"/>
        <v>5</v>
      </c>
      <c r="T23" s="72" t="s">
        <v>82</v>
      </c>
      <c r="U23" s="8">
        <v>4</v>
      </c>
      <c r="V23" s="8">
        <v>5.28</v>
      </c>
      <c r="Y23" s="9"/>
      <c r="AA23" s="9"/>
    </row>
    <row r="24" spans="1:27" ht="15.75" x14ac:dyDescent="0.25">
      <c r="A24" s="66" t="s">
        <v>77</v>
      </c>
      <c r="B24" s="6" t="s">
        <v>88</v>
      </c>
      <c r="C24" s="68" t="s">
        <v>83</v>
      </c>
      <c r="D24" s="6" t="s">
        <v>89</v>
      </c>
      <c r="E24" s="6" t="s">
        <v>90</v>
      </c>
      <c r="F24" s="7" t="s">
        <v>37</v>
      </c>
      <c r="G24" s="32">
        <v>5</v>
      </c>
      <c r="H24" s="31"/>
      <c r="I24" s="32"/>
      <c r="J24" s="31"/>
      <c r="K24" s="32"/>
      <c r="L24" s="31"/>
      <c r="M24" s="32"/>
      <c r="N24" s="31"/>
      <c r="O24" s="32"/>
      <c r="P24" s="31"/>
      <c r="Q24" s="32"/>
      <c r="R24" s="31"/>
      <c r="S24" s="28">
        <f t="shared" si="1"/>
        <v>5</v>
      </c>
      <c r="T24" s="72" t="s">
        <v>82</v>
      </c>
      <c r="U24" s="8">
        <v>4</v>
      </c>
      <c r="V24" s="8">
        <v>5.28</v>
      </c>
      <c r="Y24" s="9"/>
      <c r="AA24" s="9"/>
    </row>
    <row r="25" spans="1:27" ht="15.75" x14ac:dyDescent="0.25">
      <c r="A25" s="66" t="s">
        <v>77</v>
      </c>
      <c r="B25" s="6" t="s">
        <v>88</v>
      </c>
      <c r="C25" s="68" t="s">
        <v>83</v>
      </c>
      <c r="D25" s="6" t="s">
        <v>89</v>
      </c>
      <c r="E25" s="6" t="s">
        <v>91</v>
      </c>
      <c r="F25" s="7" t="s">
        <v>37</v>
      </c>
      <c r="G25" s="32">
        <v>5</v>
      </c>
      <c r="H25" s="31"/>
      <c r="I25" s="32"/>
      <c r="J25" s="31"/>
      <c r="K25" s="32"/>
      <c r="L25" s="31"/>
      <c r="M25" s="32"/>
      <c r="N25" s="31"/>
      <c r="O25" s="32"/>
      <c r="P25" s="31"/>
      <c r="Q25" s="32"/>
      <c r="R25" s="31"/>
      <c r="S25" s="28">
        <f t="shared" ref="S25:S29" si="2">SUM(F25:R25)</f>
        <v>5</v>
      </c>
      <c r="T25" s="72" t="s">
        <v>82</v>
      </c>
      <c r="U25" s="8">
        <v>4</v>
      </c>
      <c r="V25" s="8">
        <v>5.28</v>
      </c>
      <c r="Y25" s="9"/>
      <c r="AA25" s="9"/>
    </row>
    <row r="26" spans="1:27" ht="15.75" x14ac:dyDescent="0.25">
      <c r="A26" s="66" t="s">
        <v>77</v>
      </c>
      <c r="B26" s="6" t="s">
        <v>88</v>
      </c>
      <c r="C26" s="68" t="s">
        <v>83</v>
      </c>
      <c r="D26" s="6" t="s">
        <v>89</v>
      </c>
      <c r="E26" s="6" t="s">
        <v>92</v>
      </c>
      <c r="F26" s="7" t="s">
        <v>37</v>
      </c>
      <c r="G26" s="32">
        <v>5</v>
      </c>
      <c r="H26" s="31"/>
      <c r="I26" s="32"/>
      <c r="J26" s="31"/>
      <c r="K26" s="32"/>
      <c r="L26" s="31"/>
      <c r="M26" s="32"/>
      <c r="N26" s="31"/>
      <c r="O26" s="32"/>
      <c r="P26" s="31"/>
      <c r="Q26" s="32"/>
      <c r="R26" s="31"/>
      <c r="S26" s="28">
        <f t="shared" si="2"/>
        <v>5</v>
      </c>
      <c r="T26" s="72" t="s">
        <v>82</v>
      </c>
      <c r="U26" s="8">
        <v>4</v>
      </c>
      <c r="V26" s="8">
        <v>5.28</v>
      </c>
      <c r="Y26" s="9"/>
      <c r="AA26" s="9"/>
    </row>
    <row r="27" spans="1:27" ht="15.75" x14ac:dyDescent="0.25">
      <c r="A27" s="66" t="s">
        <v>77</v>
      </c>
      <c r="B27" s="6" t="s">
        <v>88</v>
      </c>
      <c r="C27" s="68" t="s">
        <v>83</v>
      </c>
      <c r="D27" s="6" t="s">
        <v>89</v>
      </c>
      <c r="E27" s="6" t="s">
        <v>93</v>
      </c>
      <c r="F27" s="7" t="s">
        <v>37</v>
      </c>
      <c r="G27" s="32">
        <v>5</v>
      </c>
      <c r="H27" s="31"/>
      <c r="I27" s="32"/>
      <c r="J27" s="31"/>
      <c r="K27" s="32"/>
      <c r="L27" s="31"/>
      <c r="M27" s="32"/>
      <c r="N27" s="31"/>
      <c r="O27" s="32"/>
      <c r="P27" s="31"/>
      <c r="Q27" s="32"/>
      <c r="R27" s="31"/>
      <c r="S27" s="28">
        <f t="shared" si="2"/>
        <v>5</v>
      </c>
      <c r="T27" s="72" t="s">
        <v>82</v>
      </c>
      <c r="U27" s="8">
        <v>4</v>
      </c>
      <c r="V27" s="8">
        <v>5.28</v>
      </c>
      <c r="Y27" s="9"/>
      <c r="AA27" s="9"/>
    </row>
    <row r="28" spans="1:27" ht="15.75" x14ac:dyDescent="0.25">
      <c r="A28" s="66" t="s">
        <v>77</v>
      </c>
      <c r="B28" s="6" t="s">
        <v>88</v>
      </c>
      <c r="C28" s="68" t="s">
        <v>83</v>
      </c>
      <c r="D28" s="6" t="s">
        <v>89</v>
      </c>
      <c r="E28" s="6" t="s">
        <v>94</v>
      </c>
      <c r="F28" s="7" t="s">
        <v>37</v>
      </c>
      <c r="G28" s="32">
        <v>5</v>
      </c>
      <c r="H28" s="31"/>
      <c r="I28" s="32"/>
      <c r="J28" s="31"/>
      <c r="K28" s="32"/>
      <c r="L28" s="31"/>
      <c r="M28" s="32"/>
      <c r="N28" s="31"/>
      <c r="O28" s="32"/>
      <c r="P28" s="31"/>
      <c r="Q28" s="32"/>
      <c r="R28" s="31"/>
      <c r="S28" s="28">
        <f t="shared" si="2"/>
        <v>5</v>
      </c>
      <c r="T28" s="72" t="s">
        <v>82</v>
      </c>
      <c r="U28" s="8">
        <v>4</v>
      </c>
      <c r="V28" s="8">
        <v>5.28</v>
      </c>
      <c r="Y28" s="9"/>
      <c r="AA28" s="9"/>
    </row>
    <row r="29" spans="1:27" ht="15.75" x14ac:dyDescent="0.25">
      <c r="A29" s="66" t="s">
        <v>77</v>
      </c>
      <c r="B29" s="6" t="s">
        <v>88</v>
      </c>
      <c r="C29" s="68" t="s">
        <v>83</v>
      </c>
      <c r="D29" s="6" t="s">
        <v>89</v>
      </c>
      <c r="E29" s="6" t="s">
        <v>95</v>
      </c>
      <c r="F29" s="7" t="s">
        <v>37</v>
      </c>
      <c r="G29" s="32">
        <v>5</v>
      </c>
      <c r="H29" s="31"/>
      <c r="I29" s="32"/>
      <c r="J29" s="31"/>
      <c r="K29" s="32"/>
      <c r="L29" s="31"/>
      <c r="M29" s="32"/>
      <c r="N29" s="31"/>
      <c r="O29" s="32"/>
      <c r="P29" s="31"/>
      <c r="Q29" s="32"/>
      <c r="R29" s="31"/>
      <c r="S29" s="28">
        <f t="shared" si="2"/>
        <v>5</v>
      </c>
      <c r="T29" s="72" t="s">
        <v>82</v>
      </c>
      <c r="U29" s="8">
        <v>4</v>
      </c>
      <c r="V29" s="8">
        <v>5.28</v>
      </c>
      <c r="Y29" s="9"/>
      <c r="AA29" s="9"/>
    </row>
    <row r="30" spans="1:27" ht="15.75" x14ac:dyDescent="0.25">
      <c r="A30" s="66" t="s">
        <v>77</v>
      </c>
      <c r="B30" s="6" t="s">
        <v>88</v>
      </c>
      <c r="C30" s="68" t="s">
        <v>83</v>
      </c>
      <c r="D30" s="6" t="s">
        <v>89</v>
      </c>
      <c r="E30" s="6" t="s">
        <v>96</v>
      </c>
      <c r="F30" s="7" t="s">
        <v>37</v>
      </c>
      <c r="G30" s="32">
        <v>5</v>
      </c>
      <c r="H30" s="31"/>
      <c r="I30" s="32"/>
      <c r="J30" s="31"/>
      <c r="K30" s="32"/>
      <c r="L30" s="31"/>
      <c r="M30" s="32"/>
      <c r="N30" s="31"/>
      <c r="O30" s="32"/>
      <c r="P30" s="31"/>
      <c r="Q30" s="32"/>
      <c r="R30" s="31"/>
      <c r="S30" s="28">
        <f>SUM(F30:R30)</f>
        <v>5</v>
      </c>
      <c r="T30" s="72" t="s">
        <v>82</v>
      </c>
      <c r="U30" s="8">
        <v>4</v>
      </c>
      <c r="V30" s="8">
        <v>5.28</v>
      </c>
      <c r="Y30" s="9"/>
      <c r="AA30" s="9"/>
    </row>
    <row r="31" spans="1:27" ht="15.75" x14ac:dyDescent="0.25">
      <c r="A31" s="66" t="s">
        <v>77</v>
      </c>
      <c r="B31" s="6" t="s">
        <v>88</v>
      </c>
      <c r="C31" s="68" t="s">
        <v>83</v>
      </c>
      <c r="D31" s="6" t="s">
        <v>89</v>
      </c>
      <c r="E31" s="6" t="s">
        <v>97</v>
      </c>
      <c r="F31" s="7" t="s">
        <v>37</v>
      </c>
      <c r="G31" s="32">
        <v>5</v>
      </c>
      <c r="H31" s="31"/>
      <c r="I31" s="32"/>
      <c r="J31" s="31"/>
      <c r="K31" s="32"/>
      <c r="L31" s="31"/>
      <c r="M31" s="32"/>
      <c r="N31" s="31"/>
      <c r="O31" s="32"/>
      <c r="P31" s="31"/>
      <c r="Q31" s="32"/>
      <c r="R31" s="31"/>
      <c r="S31" s="28">
        <f>SUM(F31:R31)</f>
        <v>5</v>
      </c>
      <c r="T31" s="72" t="s">
        <v>82</v>
      </c>
      <c r="U31" s="8">
        <v>4</v>
      </c>
      <c r="V31" s="8">
        <v>5.28</v>
      </c>
      <c r="Y31" s="9"/>
      <c r="AA31" s="9"/>
    </row>
    <row r="32" spans="1:27" ht="15.75" x14ac:dyDescent="0.25">
      <c r="A32" s="66" t="s">
        <v>77</v>
      </c>
      <c r="B32" s="6" t="s">
        <v>88</v>
      </c>
      <c r="C32" s="68" t="s">
        <v>83</v>
      </c>
      <c r="D32" s="6" t="s">
        <v>89</v>
      </c>
      <c r="E32" s="6" t="s">
        <v>98</v>
      </c>
      <c r="F32" s="7" t="s">
        <v>37</v>
      </c>
      <c r="G32" s="32">
        <v>5</v>
      </c>
      <c r="H32" s="31"/>
      <c r="I32" s="32"/>
      <c r="J32" s="31"/>
      <c r="K32" s="32"/>
      <c r="L32" s="31"/>
      <c r="M32" s="32"/>
      <c r="N32" s="31"/>
      <c r="O32" s="32"/>
      <c r="P32" s="31"/>
      <c r="Q32" s="32"/>
      <c r="R32" s="31"/>
      <c r="S32" s="28">
        <f t="shared" ref="S32:S40" si="3">SUM(F32:R32)</f>
        <v>5</v>
      </c>
      <c r="T32" s="72" t="s">
        <v>82</v>
      </c>
      <c r="U32" s="8">
        <v>4</v>
      </c>
      <c r="V32" s="8">
        <v>5.28</v>
      </c>
      <c r="Y32" s="9"/>
      <c r="AA32" s="9"/>
    </row>
    <row r="33" spans="1:27" ht="15.75" x14ac:dyDescent="0.25">
      <c r="A33" s="66" t="s">
        <v>77</v>
      </c>
      <c r="B33" s="6" t="s">
        <v>88</v>
      </c>
      <c r="C33" s="68" t="s">
        <v>83</v>
      </c>
      <c r="D33" s="6" t="s">
        <v>89</v>
      </c>
      <c r="E33" s="6" t="s">
        <v>99</v>
      </c>
      <c r="F33" s="7" t="s">
        <v>37</v>
      </c>
      <c r="G33" s="32">
        <v>5</v>
      </c>
      <c r="H33" s="31"/>
      <c r="I33" s="32"/>
      <c r="J33" s="31"/>
      <c r="K33" s="32"/>
      <c r="L33" s="31"/>
      <c r="M33" s="32"/>
      <c r="N33" s="31"/>
      <c r="O33" s="32"/>
      <c r="P33" s="31"/>
      <c r="Q33" s="32"/>
      <c r="R33" s="31"/>
      <c r="S33" s="28">
        <f t="shared" si="3"/>
        <v>5</v>
      </c>
      <c r="T33" s="72" t="s">
        <v>82</v>
      </c>
      <c r="U33" s="8">
        <v>4</v>
      </c>
      <c r="V33" s="8">
        <v>5.28</v>
      </c>
      <c r="Y33" s="9"/>
      <c r="AA33" s="9"/>
    </row>
    <row r="34" spans="1:27" ht="15.75" x14ac:dyDescent="0.25">
      <c r="A34" s="66" t="s">
        <v>77</v>
      </c>
      <c r="B34" s="6" t="s">
        <v>88</v>
      </c>
      <c r="C34" s="68" t="s">
        <v>83</v>
      </c>
      <c r="D34" s="6" t="s">
        <v>89</v>
      </c>
      <c r="E34" s="6" t="s">
        <v>100</v>
      </c>
      <c r="F34" s="7" t="s">
        <v>37</v>
      </c>
      <c r="G34" s="32">
        <v>5</v>
      </c>
      <c r="H34" s="31"/>
      <c r="I34" s="32"/>
      <c r="J34" s="31"/>
      <c r="K34" s="32"/>
      <c r="L34" s="31"/>
      <c r="M34" s="32"/>
      <c r="N34" s="31"/>
      <c r="O34" s="32"/>
      <c r="P34" s="31"/>
      <c r="Q34" s="32"/>
      <c r="R34" s="31"/>
      <c r="S34" s="28">
        <f t="shared" si="3"/>
        <v>5</v>
      </c>
      <c r="T34" s="72" t="s">
        <v>82</v>
      </c>
      <c r="U34" s="8">
        <v>4</v>
      </c>
      <c r="V34" s="8">
        <v>5.28</v>
      </c>
      <c r="Y34" s="9"/>
      <c r="AA34" s="9"/>
    </row>
    <row r="35" spans="1:27" ht="15.75" x14ac:dyDescent="0.25">
      <c r="A35" s="66" t="s">
        <v>77</v>
      </c>
      <c r="B35" s="6" t="s">
        <v>88</v>
      </c>
      <c r="C35" s="68" t="s">
        <v>83</v>
      </c>
      <c r="D35" s="6" t="s">
        <v>89</v>
      </c>
      <c r="E35" s="6" t="s">
        <v>101</v>
      </c>
      <c r="F35" s="7" t="s">
        <v>37</v>
      </c>
      <c r="G35" s="32">
        <v>5</v>
      </c>
      <c r="H35" s="31"/>
      <c r="I35" s="32"/>
      <c r="J35" s="31"/>
      <c r="K35" s="32"/>
      <c r="L35" s="31"/>
      <c r="M35" s="32"/>
      <c r="N35" s="31"/>
      <c r="O35" s="32"/>
      <c r="P35" s="31"/>
      <c r="Q35" s="32"/>
      <c r="R35" s="31"/>
      <c r="S35" s="28">
        <f t="shared" si="3"/>
        <v>5</v>
      </c>
      <c r="T35" s="72" t="s">
        <v>82</v>
      </c>
      <c r="U35" s="8">
        <v>4</v>
      </c>
      <c r="V35" s="8">
        <v>5.28</v>
      </c>
      <c r="Y35" s="9"/>
      <c r="AA35" s="9"/>
    </row>
    <row r="36" spans="1:27" ht="15.75" x14ac:dyDescent="0.25">
      <c r="A36" s="66" t="s">
        <v>77</v>
      </c>
      <c r="B36" s="6" t="s">
        <v>88</v>
      </c>
      <c r="C36" s="68" t="s">
        <v>83</v>
      </c>
      <c r="D36" s="6" t="s">
        <v>89</v>
      </c>
      <c r="E36" s="6" t="s">
        <v>102</v>
      </c>
      <c r="F36" s="7" t="s">
        <v>37</v>
      </c>
      <c r="G36" s="32">
        <v>5</v>
      </c>
      <c r="H36" s="31"/>
      <c r="I36" s="32"/>
      <c r="J36" s="31"/>
      <c r="K36" s="32"/>
      <c r="L36" s="31"/>
      <c r="M36" s="32"/>
      <c r="N36" s="31"/>
      <c r="O36" s="32"/>
      <c r="P36" s="31"/>
      <c r="Q36" s="32"/>
      <c r="R36" s="31"/>
      <c r="S36" s="28">
        <f t="shared" si="3"/>
        <v>5</v>
      </c>
      <c r="T36" s="72" t="s">
        <v>82</v>
      </c>
      <c r="U36" s="8">
        <v>4</v>
      </c>
      <c r="V36" s="8">
        <v>5.28</v>
      </c>
      <c r="Y36" s="9"/>
      <c r="AA36" s="9"/>
    </row>
    <row r="37" spans="1:27" ht="15.75" x14ac:dyDescent="0.25">
      <c r="A37" s="66" t="s">
        <v>77</v>
      </c>
      <c r="B37" s="6" t="s">
        <v>88</v>
      </c>
      <c r="C37" s="68" t="s">
        <v>83</v>
      </c>
      <c r="D37" s="6" t="s">
        <v>89</v>
      </c>
      <c r="E37" s="6" t="s">
        <v>103</v>
      </c>
      <c r="F37" s="7" t="s">
        <v>37</v>
      </c>
      <c r="G37" s="32">
        <v>5</v>
      </c>
      <c r="H37" s="31"/>
      <c r="I37" s="32"/>
      <c r="J37" s="31"/>
      <c r="K37" s="32"/>
      <c r="L37" s="31"/>
      <c r="M37" s="32"/>
      <c r="N37" s="31"/>
      <c r="O37" s="32"/>
      <c r="P37" s="31"/>
      <c r="Q37" s="32"/>
      <c r="R37" s="31"/>
      <c r="S37" s="28">
        <f t="shared" si="3"/>
        <v>5</v>
      </c>
      <c r="T37" s="72" t="s">
        <v>82</v>
      </c>
      <c r="U37" s="8">
        <v>4</v>
      </c>
      <c r="V37" s="8">
        <v>5.28</v>
      </c>
      <c r="Y37" s="9"/>
      <c r="AA37" s="9"/>
    </row>
    <row r="38" spans="1:27" ht="15.75" x14ac:dyDescent="0.25">
      <c r="A38" s="66" t="s">
        <v>77</v>
      </c>
      <c r="B38" s="6" t="s">
        <v>88</v>
      </c>
      <c r="C38" s="68" t="s">
        <v>83</v>
      </c>
      <c r="D38" s="6" t="s">
        <v>89</v>
      </c>
      <c r="E38" s="6" t="s">
        <v>104</v>
      </c>
      <c r="F38" s="7" t="s">
        <v>37</v>
      </c>
      <c r="G38" s="32">
        <v>5</v>
      </c>
      <c r="H38" s="31"/>
      <c r="I38" s="32"/>
      <c r="J38" s="31"/>
      <c r="K38" s="32"/>
      <c r="L38" s="31"/>
      <c r="M38" s="32"/>
      <c r="N38" s="31"/>
      <c r="O38" s="32"/>
      <c r="P38" s="31"/>
      <c r="Q38" s="32"/>
      <c r="R38" s="31"/>
      <c r="S38" s="28">
        <f t="shared" si="3"/>
        <v>5</v>
      </c>
      <c r="T38" s="72" t="s">
        <v>82</v>
      </c>
      <c r="U38" s="8">
        <v>4</v>
      </c>
      <c r="V38" s="8">
        <v>5.28</v>
      </c>
      <c r="Y38" s="9"/>
      <c r="AA38" s="9"/>
    </row>
    <row r="39" spans="1:27" ht="15.75" x14ac:dyDescent="0.25">
      <c r="A39" s="66" t="s">
        <v>77</v>
      </c>
      <c r="B39" s="6" t="s">
        <v>88</v>
      </c>
      <c r="C39" s="68" t="s">
        <v>83</v>
      </c>
      <c r="D39" s="6" t="s">
        <v>89</v>
      </c>
      <c r="E39" s="6" t="s">
        <v>105</v>
      </c>
      <c r="F39" s="7" t="s">
        <v>37</v>
      </c>
      <c r="G39" s="32">
        <v>5</v>
      </c>
      <c r="H39" s="31"/>
      <c r="I39" s="32"/>
      <c r="J39" s="31"/>
      <c r="K39" s="32"/>
      <c r="L39" s="31"/>
      <c r="M39" s="32"/>
      <c r="N39" s="31"/>
      <c r="O39" s="32"/>
      <c r="P39" s="31"/>
      <c r="Q39" s="32"/>
      <c r="R39" s="31"/>
      <c r="S39" s="28">
        <f t="shared" si="3"/>
        <v>5</v>
      </c>
      <c r="T39" s="72" t="s">
        <v>82</v>
      </c>
      <c r="U39" s="8">
        <v>4</v>
      </c>
      <c r="V39" s="8">
        <v>5.28</v>
      </c>
      <c r="Y39" s="9"/>
      <c r="AA39" s="9"/>
    </row>
    <row r="40" spans="1:27" ht="15.75" x14ac:dyDescent="0.25">
      <c r="A40" s="66" t="s">
        <v>77</v>
      </c>
      <c r="B40" s="6" t="s">
        <v>88</v>
      </c>
      <c r="C40" s="68" t="s">
        <v>83</v>
      </c>
      <c r="D40" s="6" t="s">
        <v>89</v>
      </c>
      <c r="E40" s="6" t="s">
        <v>39</v>
      </c>
      <c r="F40" s="7" t="s">
        <v>37</v>
      </c>
      <c r="G40" s="32">
        <v>5</v>
      </c>
      <c r="H40" s="31"/>
      <c r="I40" s="32"/>
      <c r="J40" s="31"/>
      <c r="K40" s="32"/>
      <c r="L40" s="31"/>
      <c r="M40" s="32"/>
      <c r="N40" s="31"/>
      <c r="O40" s="32"/>
      <c r="P40" s="31"/>
      <c r="Q40" s="32"/>
      <c r="R40" s="31"/>
      <c r="S40" s="28">
        <f t="shared" si="3"/>
        <v>5</v>
      </c>
      <c r="T40" s="72" t="s">
        <v>82</v>
      </c>
      <c r="U40" s="8">
        <v>4</v>
      </c>
      <c r="V40" s="8">
        <v>5.28</v>
      </c>
      <c r="Y40" s="9"/>
      <c r="AA40" s="9"/>
    </row>
    <row r="41" spans="1:27" ht="15.75" x14ac:dyDescent="0.25">
      <c r="A41" s="66" t="s">
        <v>77</v>
      </c>
      <c r="B41" s="6" t="s">
        <v>88</v>
      </c>
      <c r="C41" s="68" t="s">
        <v>83</v>
      </c>
      <c r="D41" s="6" t="s">
        <v>89</v>
      </c>
      <c r="E41" s="6" t="s">
        <v>40</v>
      </c>
      <c r="F41" s="7" t="s">
        <v>37</v>
      </c>
      <c r="G41" s="32">
        <v>5</v>
      </c>
      <c r="H41" s="31"/>
      <c r="I41" s="32"/>
      <c r="J41" s="31"/>
      <c r="K41" s="32"/>
      <c r="L41" s="31"/>
      <c r="M41" s="32"/>
      <c r="N41" s="31"/>
      <c r="O41" s="32"/>
      <c r="P41" s="31"/>
      <c r="Q41" s="32"/>
      <c r="R41" s="31"/>
      <c r="S41" s="28">
        <f>SUM(F41:R41)</f>
        <v>5</v>
      </c>
      <c r="T41" s="72" t="s">
        <v>82</v>
      </c>
      <c r="U41" s="8">
        <v>4</v>
      </c>
      <c r="V41" s="8">
        <v>5.28</v>
      </c>
      <c r="Y41" s="9"/>
      <c r="AA41" s="9"/>
    </row>
    <row r="42" spans="1:27" ht="15.75" x14ac:dyDescent="0.25">
      <c r="A42" s="66" t="s">
        <v>77</v>
      </c>
      <c r="B42" s="6" t="s">
        <v>88</v>
      </c>
      <c r="C42" s="68" t="s">
        <v>83</v>
      </c>
      <c r="D42" s="6" t="s">
        <v>89</v>
      </c>
      <c r="E42" s="6" t="s">
        <v>41</v>
      </c>
      <c r="F42" s="7" t="s">
        <v>37</v>
      </c>
      <c r="G42" s="32">
        <v>5</v>
      </c>
      <c r="H42" s="31"/>
      <c r="I42" s="32"/>
      <c r="J42" s="31"/>
      <c r="K42" s="32"/>
      <c r="L42" s="31"/>
      <c r="M42" s="32"/>
      <c r="N42" s="31"/>
      <c r="O42" s="32"/>
      <c r="P42" s="31"/>
      <c r="Q42" s="32"/>
      <c r="R42" s="31"/>
      <c r="S42" s="28">
        <f>SUM(F42:R42)</f>
        <v>5</v>
      </c>
      <c r="T42" s="72" t="s">
        <v>82</v>
      </c>
      <c r="U42" s="8">
        <v>4</v>
      </c>
      <c r="V42" s="8">
        <v>5.28</v>
      </c>
      <c r="Y42" s="9"/>
      <c r="AA42" s="9"/>
    </row>
    <row r="43" spans="1:27" ht="15.75" x14ac:dyDescent="0.25">
      <c r="A43" s="66" t="s">
        <v>77</v>
      </c>
      <c r="B43" s="6" t="s">
        <v>88</v>
      </c>
      <c r="C43" s="68" t="s">
        <v>83</v>
      </c>
      <c r="D43" s="6" t="s">
        <v>89</v>
      </c>
      <c r="E43" s="6" t="s">
        <v>42</v>
      </c>
      <c r="F43" s="7" t="s">
        <v>37</v>
      </c>
      <c r="G43" s="32">
        <v>5</v>
      </c>
      <c r="H43" s="31"/>
      <c r="I43" s="32"/>
      <c r="J43" s="31"/>
      <c r="K43" s="32"/>
      <c r="L43" s="31"/>
      <c r="M43" s="32"/>
      <c r="N43" s="31"/>
      <c r="O43" s="32"/>
      <c r="P43" s="31"/>
      <c r="Q43" s="32"/>
      <c r="R43" s="31"/>
      <c r="S43" s="28">
        <f t="shared" ref="S43" si="4">SUM(F43:R43)</f>
        <v>5</v>
      </c>
      <c r="T43" s="72" t="s">
        <v>82</v>
      </c>
      <c r="U43" s="8">
        <v>4</v>
      </c>
      <c r="V43" s="8">
        <v>5.28</v>
      </c>
      <c r="Y43" s="9"/>
      <c r="AA43" s="9"/>
    </row>
    <row r="44" spans="1:27" ht="15.75" x14ac:dyDescent="0.25">
      <c r="A44" s="66" t="s">
        <v>77</v>
      </c>
      <c r="B44" s="6" t="s">
        <v>88</v>
      </c>
      <c r="C44" s="68" t="s">
        <v>83</v>
      </c>
      <c r="D44" s="6" t="s">
        <v>89</v>
      </c>
      <c r="E44" s="6" t="s">
        <v>13</v>
      </c>
      <c r="F44" s="7" t="s">
        <v>37</v>
      </c>
      <c r="G44" s="32">
        <v>5</v>
      </c>
      <c r="H44" s="31"/>
      <c r="I44" s="32"/>
      <c r="J44" s="31"/>
      <c r="K44" s="32"/>
      <c r="L44" s="31"/>
      <c r="M44" s="32"/>
      <c r="N44" s="31"/>
      <c r="O44" s="32"/>
      <c r="P44" s="31"/>
      <c r="Q44" s="32"/>
      <c r="R44" s="31"/>
      <c r="S44" s="28">
        <f>SUM(F44:R44)</f>
        <v>5</v>
      </c>
      <c r="T44" s="72" t="s">
        <v>82</v>
      </c>
      <c r="U44" s="8">
        <v>4</v>
      </c>
      <c r="V44" s="8">
        <v>5.28</v>
      </c>
      <c r="Y44" s="9"/>
      <c r="AA44" s="9"/>
    </row>
    <row r="45" spans="1:27" ht="15.75" x14ac:dyDescent="0.25">
      <c r="A45" s="66" t="s">
        <v>77</v>
      </c>
      <c r="B45" s="6" t="s">
        <v>88</v>
      </c>
      <c r="C45" s="68" t="s">
        <v>83</v>
      </c>
      <c r="D45" s="6" t="s">
        <v>89</v>
      </c>
      <c r="E45" s="6" t="s">
        <v>14</v>
      </c>
      <c r="F45" s="7" t="s">
        <v>37</v>
      </c>
      <c r="G45" s="32">
        <v>5</v>
      </c>
      <c r="H45" s="31"/>
      <c r="I45" s="32"/>
      <c r="J45" s="31"/>
      <c r="K45" s="32"/>
      <c r="L45" s="31"/>
      <c r="M45" s="32"/>
      <c r="N45" s="31"/>
      <c r="O45" s="32"/>
      <c r="P45" s="31"/>
      <c r="Q45" s="32"/>
      <c r="R45" s="31"/>
      <c r="S45" s="28">
        <f>SUM(F45:R45)</f>
        <v>5</v>
      </c>
      <c r="T45" s="72" t="s">
        <v>82</v>
      </c>
      <c r="U45" s="8">
        <v>4</v>
      </c>
      <c r="V45" s="8">
        <v>5.28</v>
      </c>
      <c r="Y45" s="9"/>
      <c r="AA45" s="9"/>
    </row>
    <row r="46" spans="1:27" ht="15.75" x14ac:dyDescent="0.25">
      <c r="A46" s="66" t="s">
        <v>77</v>
      </c>
      <c r="B46" s="6" t="s">
        <v>88</v>
      </c>
      <c r="C46" s="68" t="s">
        <v>83</v>
      </c>
      <c r="D46" s="6" t="s">
        <v>89</v>
      </c>
      <c r="E46" s="6" t="s">
        <v>15</v>
      </c>
      <c r="F46" s="7" t="s">
        <v>37</v>
      </c>
      <c r="G46" s="32">
        <v>5</v>
      </c>
      <c r="H46" s="31"/>
      <c r="I46" s="32"/>
      <c r="J46" s="31"/>
      <c r="K46" s="32"/>
      <c r="L46" s="31"/>
      <c r="M46" s="32"/>
      <c r="N46" s="31"/>
      <c r="O46" s="32"/>
      <c r="P46" s="31"/>
      <c r="Q46" s="32"/>
      <c r="R46" s="31"/>
      <c r="S46" s="28">
        <f t="shared" ref="S46:S54" si="5">SUM(F46:R46)</f>
        <v>5</v>
      </c>
      <c r="T46" s="72" t="s">
        <v>82</v>
      </c>
      <c r="U46" s="8">
        <v>4</v>
      </c>
      <c r="V46" s="8">
        <v>5.28</v>
      </c>
      <c r="Y46" s="9"/>
      <c r="AA46" s="9"/>
    </row>
    <row r="47" spans="1:27" ht="15.75" x14ac:dyDescent="0.25">
      <c r="A47" s="66" t="s">
        <v>77</v>
      </c>
      <c r="B47" s="6" t="s">
        <v>88</v>
      </c>
      <c r="C47" s="68" t="s">
        <v>83</v>
      </c>
      <c r="D47" s="6" t="s">
        <v>89</v>
      </c>
      <c r="E47" s="6" t="s">
        <v>16</v>
      </c>
      <c r="F47" s="7" t="s">
        <v>37</v>
      </c>
      <c r="G47" s="32">
        <v>5</v>
      </c>
      <c r="H47" s="31"/>
      <c r="I47" s="32"/>
      <c r="J47" s="31"/>
      <c r="K47" s="32"/>
      <c r="L47" s="31"/>
      <c r="M47" s="32"/>
      <c r="N47" s="31"/>
      <c r="O47" s="32"/>
      <c r="P47" s="31"/>
      <c r="Q47" s="32"/>
      <c r="R47" s="31"/>
      <c r="S47" s="28">
        <f t="shared" si="5"/>
        <v>5</v>
      </c>
      <c r="T47" s="72" t="s">
        <v>82</v>
      </c>
      <c r="U47" s="8">
        <v>4</v>
      </c>
      <c r="V47" s="8">
        <v>5.28</v>
      </c>
      <c r="Y47" s="9"/>
      <c r="AA47" s="9"/>
    </row>
    <row r="48" spans="1:27" ht="15.75" x14ac:dyDescent="0.25">
      <c r="A48" s="66" t="s">
        <v>77</v>
      </c>
      <c r="B48" s="6" t="s">
        <v>88</v>
      </c>
      <c r="C48" s="68" t="s">
        <v>83</v>
      </c>
      <c r="D48" s="6" t="s">
        <v>89</v>
      </c>
      <c r="E48" s="6" t="s">
        <v>43</v>
      </c>
      <c r="F48" s="7" t="s">
        <v>37</v>
      </c>
      <c r="G48" s="32">
        <v>5</v>
      </c>
      <c r="H48" s="31"/>
      <c r="I48" s="32"/>
      <c r="J48" s="31"/>
      <c r="K48" s="32"/>
      <c r="L48" s="31"/>
      <c r="M48" s="32"/>
      <c r="N48" s="31"/>
      <c r="O48" s="32"/>
      <c r="P48" s="31"/>
      <c r="Q48" s="32"/>
      <c r="R48" s="31"/>
      <c r="S48" s="28">
        <f t="shared" si="5"/>
        <v>5</v>
      </c>
      <c r="T48" s="72" t="s">
        <v>82</v>
      </c>
      <c r="U48" s="8">
        <v>4</v>
      </c>
      <c r="V48" s="8">
        <v>5.28</v>
      </c>
      <c r="Y48" s="9"/>
      <c r="AA48" s="9"/>
    </row>
    <row r="49" spans="1:27" ht="15.75" x14ac:dyDescent="0.25">
      <c r="A49" s="66" t="s">
        <v>77</v>
      </c>
      <c r="B49" s="6" t="s">
        <v>88</v>
      </c>
      <c r="C49" s="68" t="s">
        <v>83</v>
      </c>
      <c r="D49" s="6" t="s">
        <v>89</v>
      </c>
      <c r="E49" s="6" t="s">
        <v>26</v>
      </c>
      <c r="F49" s="7" t="s">
        <v>37</v>
      </c>
      <c r="G49" s="32">
        <v>5</v>
      </c>
      <c r="H49" s="31"/>
      <c r="I49" s="32"/>
      <c r="J49" s="31"/>
      <c r="K49" s="32"/>
      <c r="L49" s="31"/>
      <c r="M49" s="32"/>
      <c r="N49" s="31"/>
      <c r="O49" s="32"/>
      <c r="P49" s="31"/>
      <c r="Q49" s="32"/>
      <c r="R49" s="31"/>
      <c r="S49" s="28">
        <f t="shared" si="5"/>
        <v>5</v>
      </c>
      <c r="T49" s="72" t="s">
        <v>82</v>
      </c>
      <c r="U49" s="8">
        <v>4</v>
      </c>
      <c r="V49" s="8">
        <v>5.28</v>
      </c>
      <c r="Y49" s="9"/>
      <c r="AA49" s="9"/>
    </row>
    <row r="50" spans="1:27" ht="15.75" x14ac:dyDescent="0.25">
      <c r="A50" s="66" t="s">
        <v>77</v>
      </c>
      <c r="B50" s="6" t="s">
        <v>88</v>
      </c>
      <c r="C50" s="68" t="s">
        <v>83</v>
      </c>
      <c r="D50" s="6" t="s">
        <v>89</v>
      </c>
      <c r="E50" s="6" t="s">
        <v>44</v>
      </c>
      <c r="F50" s="7" t="s">
        <v>37</v>
      </c>
      <c r="G50" s="32">
        <v>5</v>
      </c>
      <c r="H50" s="31"/>
      <c r="I50" s="32"/>
      <c r="J50" s="31"/>
      <c r="K50" s="32"/>
      <c r="L50" s="31"/>
      <c r="M50" s="32"/>
      <c r="N50" s="31"/>
      <c r="O50" s="32"/>
      <c r="P50" s="31"/>
      <c r="Q50" s="32"/>
      <c r="R50" s="31"/>
      <c r="S50" s="28">
        <f t="shared" si="5"/>
        <v>5</v>
      </c>
      <c r="T50" s="72" t="s">
        <v>82</v>
      </c>
      <c r="U50" s="8">
        <v>4</v>
      </c>
      <c r="V50" s="8">
        <v>5.28</v>
      </c>
      <c r="Y50" s="9"/>
      <c r="AA50" s="9"/>
    </row>
    <row r="51" spans="1:27" ht="15.75" x14ac:dyDescent="0.25">
      <c r="A51" s="66" t="s">
        <v>77</v>
      </c>
      <c r="B51" s="6" t="s">
        <v>88</v>
      </c>
      <c r="C51" s="68" t="s">
        <v>83</v>
      </c>
      <c r="D51" s="6" t="s">
        <v>89</v>
      </c>
      <c r="E51" s="6" t="s">
        <v>27</v>
      </c>
      <c r="F51" s="7" t="s">
        <v>37</v>
      </c>
      <c r="G51" s="32">
        <v>5</v>
      </c>
      <c r="H51" s="31"/>
      <c r="I51" s="32"/>
      <c r="J51" s="31"/>
      <c r="K51" s="32"/>
      <c r="L51" s="31"/>
      <c r="M51" s="32"/>
      <c r="N51" s="31"/>
      <c r="O51" s="32"/>
      <c r="P51" s="31"/>
      <c r="Q51" s="32"/>
      <c r="R51" s="31"/>
      <c r="S51" s="28">
        <f t="shared" si="5"/>
        <v>5</v>
      </c>
      <c r="T51" s="72" t="s">
        <v>82</v>
      </c>
      <c r="U51" s="8">
        <v>4</v>
      </c>
      <c r="V51" s="8">
        <v>5.28</v>
      </c>
      <c r="Y51" s="9"/>
      <c r="AA51" s="9"/>
    </row>
    <row r="52" spans="1:27" ht="15.75" x14ac:dyDescent="0.25">
      <c r="A52" s="66" t="s">
        <v>77</v>
      </c>
      <c r="B52" s="6" t="s">
        <v>88</v>
      </c>
      <c r="C52" s="68" t="s">
        <v>83</v>
      </c>
      <c r="D52" s="6" t="s">
        <v>89</v>
      </c>
      <c r="E52" s="6" t="s">
        <v>106</v>
      </c>
      <c r="F52" s="7" t="s">
        <v>37</v>
      </c>
      <c r="G52" s="32">
        <v>5</v>
      </c>
      <c r="H52" s="31"/>
      <c r="I52" s="32"/>
      <c r="J52" s="31"/>
      <c r="K52" s="32"/>
      <c r="L52" s="31"/>
      <c r="M52" s="32"/>
      <c r="N52" s="31"/>
      <c r="O52" s="32"/>
      <c r="P52" s="31"/>
      <c r="Q52" s="32"/>
      <c r="R52" s="31"/>
      <c r="S52" s="28">
        <f t="shared" si="5"/>
        <v>5</v>
      </c>
      <c r="T52" s="72" t="s">
        <v>82</v>
      </c>
      <c r="U52" s="8">
        <v>4</v>
      </c>
      <c r="V52" s="8">
        <v>5.28</v>
      </c>
      <c r="Y52" s="9"/>
      <c r="AA52" s="9"/>
    </row>
    <row r="53" spans="1:27" ht="15.75" x14ac:dyDescent="0.25">
      <c r="A53" s="66" t="s">
        <v>77</v>
      </c>
      <c r="B53" s="6" t="s">
        <v>88</v>
      </c>
      <c r="C53" s="68" t="s">
        <v>83</v>
      </c>
      <c r="D53" s="6" t="s">
        <v>89</v>
      </c>
      <c r="E53" s="6" t="s">
        <v>28</v>
      </c>
      <c r="F53" s="7" t="s">
        <v>37</v>
      </c>
      <c r="G53" s="32">
        <v>5</v>
      </c>
      <c r="H53" s="31"/>
      <c r="I53" s="32"/>
      <c r="J53" s="31"/>
      <c r="K53" s="32"/>
      <c r="L53" s="31"/>
      <c r="M53" s="32"/>
      <c r="N53" s="31"/>
      <c r="O53" s="32"/>
      <c r="P53" s="31"/>
      <c r="Q53" s="32"/>
      <c r="R53" s="31"/>
      <c r="S53" s="28">
        <f t="shared" si="5"/>
        <v>5</v>
      </c>
      <c r="T53" s="72" t="s">
        <v>82</v>
      </c>
      <c r="U53" s="8">
        <v>4</v>
      </c>
      <c r="V53" s="8">
        <v>5.28</v>
      </c>
      <c r="Y53" s="9"/>
      <c r="AA53" s="9"/>
    </row>
    <row r="54" spans="1:27" ht="15.75" x14ac:dyDescent="0.25">
      <c r="A54" s="66" t="s">
        <v>77</v>
      </c>
      <c r="B54" s="6" t="s">
        <v>88</v>
      </c>
      <c r="C54" s="68" t="s">
        <v>83</v>
      </c>
      <c r="D54" s="6" t="s">
        <v>89</v>
      </c>
      <c r="E54" s="6" t="s">
        <v>107</v>
      </c>
      <c r="F54" s="7" t="s">
        <v>37</v>
      </c>
      <c r="G54" s="32">
        <v>5</v>
      </c>
      <c r="H54" s="31"/>
      <c r="I54" s="32"/>
      <c r="J54" s="31"/>
      <c r="K54" s="32"/>
      <c r="L54" s="31"/>
      <c r="M54" s="32"/>
      <c r="N54" s="31"/>
      <c r="O54" s="32"/>
      <c r="P54" s="31"/>
      <c r="Q54" s="32"/>
      <c r="R54" s="31"/>
      <c r="S54" s="28">
        <f t="shared" si="5"/>
        <v>5</v>
      </c>
      <c r="T54" s="72" t="s">
        <v>82</v>
      </c>
      <c r="U54" s="8">
        <v>4</v>
      </c>
      <c r="V54" s="8">
        <v>5.28</v>
      </c>
      <c r="Y54" s="9"/>
      <c r="AA54" s="9"/>
    </row>
    <row r="55" spans="1:27" ht="15.75" x14ac:dyDescent="0.25">
      <c r="A55" s="66" t="s">
        <v>77</v>
      </c>
      <c r="B55" s="6" t="s">
        <v>88</v>
      </c>
      <c r="C55" s="68" t="s">
        <v>83</v>
      </c>
      <c r="D55" s="6" t="s">
        <v>89</v>
      </c>
      <c r="E55" s="6" t="s">
        <v>29</v>
      </c>
      <c r="F55" s="7" t="s">
        <v>37</v>
      </c>
      <c r="G55" s="32">
        <v>5</v>
      </c>
      <c r="H55" s="31"/>
      <c r="I55" s="32"/>
      <c r="J55" s="31"/>
      <c r="K55" s="32"/>
      <c r="L55" s="31"/>
      <c r="M55" s="32"/>
      <c r="N55" s="31"/>
      <c r="O55" s="32"/>
      <c r="P55" s="31"/>
      <c r="Q55" s="32"/>
      <c r="R55" s="31"/>
      <c r="S55" s="28">
        <f>SUM(F55:R55)</f>
        <v>5</v>
      </c>
      <c r="T55" s="72" t="s">
        <v>82</v>
      </c>
      <c r="U55" s="8">
        <v>4</v>
      </c>
      <c r="V55" s="8">
        <v>5.28</v>
      </c>
      <c r="Y55" s="9"/>
      <c r="AA55" s="9"/>
    </row>
    <row r="56" spans="1:27" ht="15.75" x14ac:dyDescent="0.25">
      <c r="A56" s="66" t="s">
        <v>77</v>
      </c>
      <c r="B56" s="6" t="s">
        <v>88</v>
      </c>
      <c r="C56" s="68" t="s">
        <v>83</v>
      </c>
      <c r="D56" s="6" t="s">
        <v>89</v>
      </c>
      <c r="E56" s="6" t="s">
        <v>108</v>
      </c>
      <c r="F56" s="7" t="s">
        <v>37</v>
      </c>
      <c r="G56" s="32">
        <v>5</v>
      </c>
      <c r="H56" s="31"/>
      <c r="I56" s="32"/>
      <c r="J56" s="31"/>
      <c r="K56" s="32"/>
      <c r="L56" s="31"/>
      <c r="M56" s="32"/>
      <c r="N56" s="31"/>
      <c r="O56" s="32"/>
      <c r="P56" s="31"/>
      <c r="Q56" s="32"/>
      <c r="R56" s="31"/>
      <c r="S56" s="28">
        <f>SUM(F56:R56)</f>
        <v>5</v>
      </c>
      <c r="T56" s="72" t="s">
        <v>82</v>
      </c>
      <c r="U56" s="8">
        <v>4</v>
      </c>
      <c r="V56" s="8">
        <v>5.28</v>
      </c>
      <c r="Y56" s="9"/>
      <c r="AA56" s="9"/>
    </row>
    <row r="57" spans="1:27" ht="15.75" x14ac:dyDescent="0.25">
      <c r="A57" s="66" t="s">
        <v>77</v>
      </c>
      <c r="B57" s="6" t="s">
        <v>88</v>
      </c>
      <c r="C57" s="68" t="s">
        <v>83</v>
      </c>
      <c r="D57" s="6" t="s">
        <v>89</v>
      </c>
      <c r="E57" s="6" t="s">
        <v>30</v>
      </c>
      <c r="F57" s="7" t="s">
        <v>37</v>
      </c>
      <c r="G57" s="32">
        <v>5</v>
      </c>
      <c r="H57" s="31"/>
      <c r="I57" s="32"/>
      <c r="J57" s="31"/>
      <c r="K57" s="32"/>
      <c r="L57" s="31"/>
      <c r="M57" s="32"/>
      <c r="N57" s="31"/>
      <c r="O57" s="32"/>
      <c r="P57" s="31"/>
      <c r="Q57" s="32"/>
      <c r="R57" s="31"/>
      <c r="S57" s="28">
        <f>SUM(F57:R57)</f>
        <v>5</v>
      </c>
      <c r="T57" s="72" t="s">
        <v>82</v>
      </c>
      <c r="U57" s="8">
        <v>4</v>
      </c>
      <c r="V57" s="8">
        <v>5.28</v>
      </c>
      <c r="Y57" s="9"/>
      <c r="AA57" s="9"/>
    </row>
    <row r="58" spans="1:27" ht="15.75" x14ac:dyDescent="0.25">
      <c r="A58" s="66" t="s">
        <v>77</v>
      </c>
      <c r="B58" s="6" t="s">
        <v>88</v>
      </c>
      <c r="C58" s="68" t="s">
        <v>83</v>
      </c>
      <c r="D58" s="6" t="s">
        <v>89</v>
      </c>
      <c r="E58" s="6" t="s">
        <v>109</v>
      </c>
      <c r="F58" s="7" t="s">
        <v>37</v>
      </c>
      <c r="G58" s="32">
        <v>5</v>
      </c>
      <c r="H58" s="31"/>
      <c r="I58" s="32"/>
      <c r="J58" s="31"/>
      <c r="K58" s="32"/>
      <c r="L58" s="31"/>
      <c r="M58" s="32"/>
      <c r="N58" s="31"/>
      <c r="O58" s="32"/>
      <c r="P58" s="31"/>
      <c r="Q58" s="32"/>
      <c r="R58" s="31"/>
      <c r="S58" s="28">
        <f t="shared" ref="S58" si="6">SUM(F58:R58)</f>
        <v>5</v>
      </c>
      <c r="T58" s="72" t="s">
        <v>82</v>
      </c>
      <c r="U58" s="8">
        <v>4</v>
      </c>
      <c r="V58" s="8">
        <v>5.28</v>
      </c>
      <c r="Y58" s="9"/>
      <c r="AA58" s="9"/>
    </row>
    <row r="59" spans="1:27" ht="15.75" x14ac:dyDescent="0.25">
      <c r="A59" s="66" t="s">
        <v>77</v>
      </c>
      <c r="B59" s="6" t="s">
        <v>88</v>
      </c>
      <c r="C59" s="68" t="s">
        <v>83</v>
      </c>
      <c r="D59" s="6" t="s">
        <v>89</v>
      </c>
      <c r="E59" s="6" t="s">
        <v>31</v>
      </c>
      <c r="F59" s="7" t="s">
        <v>37</v>
      </c>
      <c r="G59" s="32">
        <v>5</v>
      </c>
      <c r="H59" s="31"/>
      <c r="I59" s="32"/>
      <c r="J59" s="31"/>
      <c r="K59" s="32"/>
      <c r="L59" s="31"/>
      <c r="M59" s="32"/>
      <c r="N59" s="31"/>
      <c r="O59" s="32"/>
      <c r="P59" s="31"/>
      <c r="Q59" s="32"/>
      <c r="R59" s="31"/>
      <c r="S59" s="28">
        <f>SUM(F59:R59)</f>
        <v>5</v>
      </c>
      <c r="T59" s="72" t="s">
        <v>82</v>
      </c>
      <c r="U59" s="8">
        <v>4</v>
      </c>
      <c r="V59" s="8">
        <v>5.28</v>
      </c>
      <c r="Y59" s="9"/>
      <c r="AA59" s="9"/>
    </row>
    <row r="60" spans="1:27" ht="15.75" x14ac:dyDescent="0.25">
      <c r="A60" s="66" t="s">
        <v>77</v>
      </c>
      <c r="B60" s="6" t="s">
        <v>88</v>
      </c>
      <c r="C60" s="68" t="s">
        <v>83</v>
      </c>
      <c r="D60" s="6" t="s">
        <v>89</v>
      </c>
      <c r="E60" s="6" t="s">
        <v>110</v>
      </c>
      <c r="F60" s="7" t="s">
        <v>37</v>
      </c>
      <c r="G60" s="32">
        <v>5</v>
      </c>
      <c r="H60" s="31"/>
      <c r="I60" s="32"/>
      <c r="J60" s="31"/>
      <c r="K60" s="32"/>
      <c r="L60" s="31"/>
      <c r="M60" s="32"/>
      <c r="N60" s="31"/>
      <c r="O60" s="32"/>
      <c r="P60" s="31"/>
      <c r="Q60" s="32"/>
      <c r="R60" s="31"/>
      <c r="S60" s="28">
        <f>SUM(F60:R60)</f>
        <v>5</v>
      </c>
      <c r="T60" s="72" t="s">
        <v>82</v>
      </c>
      <c r="U60" s="8">
        <v>4</v>
      </c>
      <c r="V60" s="8">
        <v>5.28</v>
      </c>
      <c r="Y60" s="9"/>
      <c r="AA60" s="9"/>
    </row>
    <row r="61" spans="1:27" ht="15.75" x14ac:dyDescent="0.25">
      <c r="A61" s="66" t="s">
        <v>77</v>
      </c>
      <c r="B61" s="6" t="s">
        <v>88</v>
      </c>
      <c r="C61" s="68" t="s">
        <v>83</v>
      </c>
      <c r="D61" s="6" t="s">
        <v>89</v>
      </c>
      <c r="E61" s="6" t="s">
        <v>32</v>
      </c>
      <c r="F61" s="7" t="s">
        <v>37</v>
      </c>
      <c r="G61" s="32">
        <v>5</v>
      </c>
      <c r="H61" s="31"/>
      <c r="I61" s="32"/>
      <c r="J61" s="31"/>
      <c r="K61" s="32"/>
      <c r="L61" s="31"/>
      <c r="M61" s="32"/>
      <c r="N61" s="31"/>
      <c r="O61" s="32"/>
      <c r="P61" s="31"/>
      <c r="Q61" s="32"/>
      <c r="R61" s="31"/>
      <c r="S61" s="28">
        <f t="shared" ref="S61:S69" si="7">SUM(F61:R61)</f>
        <v>5</v>
      </c>
      <c r="T61" s="72" t="s">
        <v>82</v>
      </c>
      <c r="U61" s="8">
        <v>4</v>
      </c>
      <c r="V61" s="8">
        <v>5.28</v>
      </c>
      <c r="Y61" s="9"/>
      <c r="AA61" s="9"/>
    </row>
    <row r="62" spans="1:27" ht="15.75" x14ac:dyDescent="0.25">
      <c r="A62" s="66" t="s">
        <v>77</v>
      </c>
      <c r="B62" s="6" t="s">
        <v>88</v>
      </c>
      <c r="C62" s="68" t="s">
        <v>83</v>
      </c>
      <c r="D62" s="6" t="s">
        <v>89</v>
      </c>
      <c r="E62" s="6" t="s">
        <v>111</v>
      </c>
      <c r="F62" s="7" t="s">
        <v>37</v>
      </c>
      <c r="G62" s="32">
        <v>5</v>
      </c>
      <c r="H62" s="31"/>
      <c r="I62" s="32"/>
      <c r="J62" s="31"/>
      <c r="K62" s="32"/>
      <c r="L62" s="31"/>
      <c r="M62" s="32"/>
      <c r="N62" s="31"/>
      <c r="O62" s="32"/>
      <c r="P62" s="31"/>
      <c r="Q62" s="32"/>
      <c r="R62" s="31"/>
      <c r="S62" s="28">
        <f t="shared" si="7"/>
        <v>5</v>
      </c>
      <c r="T62" s="72" t="s">
        <v>82</v>
      </c>
      <c r="U62" s="8">
        <v>4</v>
      </c>
      <c r="V62" s="8">
        <v>5.28</v>
      </c>
      <c r="Y62" s="9"/>
      <c r="AA62" s="9"/>
    </row>
    <row r="63" spans="1:27" ht="15.75" x14ac:dyDescent="0.25">
      <c r="A63" s="66" t="s">
        <v>77</v>
      </c>
      <c r="B63" s="6" t="s">
        <v>88</v>
      </c>
      <c r="C63" s="68" t="s">
        <v>83</v>
      </c>
      <c r="D63" s="6" t="s">
        <v>89</v>
      </c>
      <c r="E63" s="6" t="s">
        <v>33</v>
      </c>
      <c r="F63" s="7" t="s">
        <v>37</v>
      </c>
      <c r="G63" s="32">
        <v>5</v>
      </c>
      <c r="H63" s="31"/>
      <c r="I63" s="32"/>
      <c r="J63" s="31"/>
      <c r="K63" s="32"/>
      <c r="L63" s="31"/>
      <c r="M63" s="32"/>
      <c r="N63" s="31"/>
      <c r="O63" s="32"/>
      <c r="P63" s="31"/>
      <c r="Q63" s="32"/>
      <c r="R63" s="31"/>
      <c r="S63" s="28">
        <f t="shared" si="7"/>
        <v>5</v>
      </c>
      <c r="T63" s="72" t="s">
        <v>82</v>
      </c>
      <c r="U63" s="8">
        <v>4</v>
      </c>
      <c r="V63" s="8">
        <v>5.28</v>
      </c>
      <c r="Y63" s="9"/>
      <c r="AA63" s="9"/>
    </row>
    <row r="64" spans="1:27" ht="15.75" x14ac:dyDescent="0.25">
      <c r="A64" s="66" t="s">
        <v>77</v>
      </c>
      <c r="B64" s="6" t="s">
        <v>88</v>
      </c>
      <c r="C64" s="68" t="s">
        <v>83</v>
      </c>
      <c r="D64" s="6" t="s">
        <v>89</v>
      </c>
      <c r="E64" s="6" t="s">
        <v>112</v>
      </c>
      <c r="F64" s="7" t="s">
        <v>37</v>
      </c>
      <c r="G64" s="32">
        <v>5</v>
      </c>
      <c r="H64" s="31"/>
      <c r="I64" s="32"/>
      <c r="J64" s="31"/>
      <c r="K64" s="32"/>
      <c r="L64" s="31"/>
      <c r="M64" s="32"/>
      <c r="N64" s="31"/>
      <c r="O64" s="32"/>
      <c r="P64" s="31"/>
      <c r="Q64" s="32"/>
      <c r="R64" s="31"/>
      <c r="S64" s="28">
        <f t="shared" si="7"/>
        <v>5</v>
      </c>
      <c r="T64" s="72" t="s">
        <v>82</v>
      </c>
      <c r="U64" s="8">
        <v>4</v>
      </c>
      <c r="V64" s="8">
        <v>5.28</v>
      </c>
      <c r="Y64" s="9"/>
      <c r="AA64" s="9"/>
    </row>
    <row r="65" spans="1:27" ht="15.75" x14ac:dyDescent="0.25">
      <c r="A65" s="66" t="s">
        <v>77</v>
      </c>
      <c r="B65" s="6" t="s">
        <v>88</v>
      </c>
      <c r="C65" s="68" t="s">
        <v>83</v>
      </c>
      <c r="D65" s="6" t="s">
        <v>89</v>
      </c>
      <c r="E65" s="6" t="s">
        <v>34</v>
      </c>
      <c r="F65" s="7" t="s">
        <v>37</v>
      </c>
      <c r="G65" s="32">
        <v>5</v>
      </c>
      <c r="H65" s="31"/>
      <c r="I65" s="32"/>
      <c r="J65" s="31"/>
      <c r="K65" s="32"/>
      <c r="L65" s="31"/>
      <c r="M65" s="32"/>
      <c r="N65" s="31"/>
      <c r="O65" s="32"/>
      <c r="P65" s="31"/>
      <c r="Q65" s="32"/>
      <c r="R65" s="31"/>
      <c r="S65" s="28">
        <f t="shared" si="7"/>
        <v>5</v>
      </c>
      <c r="T65" s="72" t="s">
        <v>82</v>
      </c>
      <c r="U65" s="8">
        <v>4</v>
      </c>
      <c r="V65" s="8">
        <v>5.28</v>
      </c>
      <c r="Y65" s="9"/>
      <c r="AA65" s="9"/>
    </row>
    <row r="66" spans="1:27" ht="15.75" x14ac:dyDescent="0.25">
      <c r="A66" s="66" t="s">
        <v>77</v>
      </c>
      <c r="B66" s="6" t="s">
        <v>88</v>
      </c>
      <c r="C66" s="68" t="s">
        <v>83</v>
      </c>
      <c r="D66" s="6" t="s">
        <v>89</v>
      </c>
      <c r="E66" s="6" t="s">
        <v>113</v>
      </c>
      <c r="F66" s="7" t="s">
        <v>37</v>
      </c>
      <c r="G66" s="32">
        <v>5</v>
      </c>
      <c r="H66" s="31"/>
      <c r="I66" s="32"/>
      <c r="J66" s="31"/>
      <c r="K66" s="32"/>
      <c r="L66" s="31"/>
      <c r="M66" s="32"/>
      <c r="N66" s="31"/>
      <c r="O66" s="32"/>
      <c r="P66" s="31"/>
      <c r="Q66" s="32"/>
      <c r="R66" s="31"/>
      <c r="S66" s="28">
        <f t="shared" si="7"/>
        <v>5</v>
      </c>
      <c r="T66" s="72" t="s">
        <v>82</v>
      </c>
      <c r="U66" s="8">
        <v>4</v>
      </c>
      <c r="V66" s="8">
        <v>5.28</v>
      </c>
      <c r="Y66" s="9"/>
      <c r="AA66" s="9"/>
    </row>
    <row r="67" spans="1:27" ht="15.75" x14ac:dyDescent="0.25">
      <c r="A67" s="66" t="s">
        <v>77</v>
      </c>
      <c r="B67" s="6" t="s">
        <v>88</v>
      </c>
      <c r="C67" s="68" t="s">
        <v>83</v>
      </c>
      <c r="D67" s="6" t="s">
        <v>89</v>
      </c>
      <c r="E67" s="6" t="s">
        <v>114</v>
      </c>
      <c r="F67" s="7" t="s">
        <v>37</v>
      </c>
      <c r="G67" s="32">
        <v>5</v>
      </c>
      <c r="H67" s="31"/>
      <c r="I67" s="32"/>
      <c r="J67" s="31"/>
      <c r="K67" s="32"/>
      <c r="L67" s="31"/>
      <c r="M67" s="32"/>
      <c r="N67" s="31"/>
      <c r="O67" s="32"/>
      <c r="P67" s="31"/>
      <c r="Q67" s="32"/>
      <c r="R67" s="31"/>
      <c r="S67" s="28">
        <f t="shared" si="7"/>
        <v>5</v>
      </c>
      <c r="T67" s="72" t="s">
        <v>82</v>
      </c>
      <c r="U67" s="8">
        <v>4</v>
      </c>
      <c r="V67" s="8">
        <v>5.28</v>
      </c>
      <c r="Y67" s="9"/>
      <c r="AA67" s="9"/>
    </row>
    <row r="68" spans="1:27" ht="15.75" x14ac:dyDescent="0.25">
      <c r="A68" s="66" t="s">
        <v>77</v>
      </c>
      <c r="B68" s="6" t="s">
        <v>88</v>
      </c>
      <c r="C68" s="68" t="s">
        <v>83</v>
      </c>
      <c r="D68" s="6" t="s">
        <v>89</v>
      </c>
      <c r="E68" s="6" t="s">
        <v>115</v>
      </c>
      <c r="F68" s="7" t="s">
        <v>37</v>
      </c>
      <c r="G68" s="32">
        <v>5</v>
      </c>
      <c r="H68" s="31"/>
      <c r="I68" s="32"/>
      <c r="J68" s="31"/>
      <c r="K68" s="32"/>
      <c r="L68" s="31"/>
      <c r="M68" s="32"/>
      <c r="N68" s="31"/>
      <c r="O68" s="32"/>
      <c r="P68" s="31"/>
      <c r="Q68" s="32"/>
      <c r="R68" s="31"/>
      <c r="S68" s="28">
        <f t="shared" si="7"/>
        <v>5</v>
      </c>
      <c r="T68" s="72" t="s">
        <v>82</v>
      </c>
      <c r="U68" s="8">
        <v>4</v>
      </c>
      <c r="V68" s="8">
        <v>5.28</v>
      </c>
      <c r="Y68" s="9"/>
      <c r="AA68" s="9"/>
    </row>
    <row r="69" spans="1:27" ht="15.75" x14ac:dyDescent="0.25">
      <c r="A69" s="66" t="s">
        <v>77</v>
      </c>
      <c r="B69" s="6" t="s">
        <v>88</v>
      </c>
      <c r="C69" s="68" t="s">
        <v>83</v>
      </c>
      <c r="D69" s="6" t="s">
        <v>89</v>
      </c>
      <c r="E69" s="6" t="s">
        <v>116</v>
      </c>
      <c r="F69" s="7" t="s">
        <v>37</v>
      </c>
      <c r="G69" s="32">
        <v>5</v>
      </c>
      <c r="H69" s="31"/>
      <c r="I69" s="32"/>
      <c r="J69" s="31"/>
      <c r="K69" s="32"/>
      <c r="L69" s="31"/>
      <c r="M69" s="32"/>
      <c r="N69" s="31"/>
      <c r="O69" s="32"/>
      <c r="P69" s="31"/>
      <c r="Q69" s="32"/>
      <c r="R69" s="31"/>
      <c r="S69" s="28">
        <f t="shared" si="7"/>
        <v>5</v>
      </c>
      <c r="T69" s="72" t="s">
        <v>82</v>
      </c>
      <c r="U69" s="8">
        <v>4</v>
      </c>
      <c r="V69" s="8">
        <v>5.28</v>
      </c>
      <c r="Y69" s="9"/>
      <c r="AA69" s="9"/>
    </row>
    <row r="70" spans="1:27" ht="15.75" x14ac:dyDescent="0.25">
      <c r="A70" s="66" t="s">
        <v>77</v>
      </c>
      <c r="B70" s="6" t="s">
        <v>88</v>
      </c>
      <c r="C70" s="68" t="s">
        <v>83</v>
      </c>
      <c r="D70" s="6" t="s">
        <v>89</v>
      </c>
      <c r="E70" s="6" t="s">
        <v>117</v>
      </c>
      <c r="F70" s="7" t="s">
        <v>37</v>
      </c>
      <c r="G70" s="32">
        <v>5</v>
      </c>
      <c r="H70" s="31"/>
      <c r="I70" s="32"/>
      <c r="J70" s="31"/>
      <c r="K70" s="32"/>
      <c r="L70" s="31"/>
      <c r="M70" s="32"/>
      <c r="N70" s="31"/>
      <c r="O70" s="32"/>
      <c r="P70" s="31"/>
      <c r="Q70" s="32"/>
      <c r="R70" s="31"/>
      <c r="S70" s="28">
        <f>SUM(F70:R70)</f>
        <v>5</v>
      </c>
      <c r="T70" s="72" t="s">
        <v>82</v>
      </c>
      <c r="U70" s="8">
        <v>4</v>
      </c>
      <c r="V70" s="8">
        <v>5.28</v>
      </c>
      <c r="Y70" s="9"/>
      <c r="AA70" s="9"/>
    </row>
    <row r="71" spans="1:27" ht="15.75" x14ac:dyDescent="0.25">
      <c r="A71" s="66" t="s">
        <v>77</v>
      </c>
      <c r="B71" s="6" t="s">
        <v>88</v>
      </c>
      <c r="C71" s="68" t="s">
        <v>83</v>
      </c>
      <c r="D71" s="6" t="s">
        <v>89</v>
      </c>
      <c r="E71" s="6" t="s">
        <v>118</v>
      </c>
      <c r="F71" s="7" t="s">
        <v>37</v>
      </c>
      <c r="G71" s="32">
        <v>5</v>
      </c>
      <c r="H71" s="31"/>
      <c r="I71" s="32"/>
      <c r="J71" s="31"/>
      <c r="K71" s="32"/>
      <c r="L71" s="31"/>
      <c r="M71" s="32"/>
      <c r="N71" s="31"/>
      <c r="O71" s="32"/>
      <c r="P71" s="31"/>
      <c r="Q71" s="32"/>
      <c r="R71" s="31"/>
      <c r="S71" s="28">
        <f>SUM(F71:R71)</f>
        <v>5</v>
      </c>
      <c r="T71" s="72" t="s">
        <v>82</v>
      </c>
      <c r="U71" s="8">
        <v>4</v>
      </c>
      <c r="V71" s="8">
        <v>5.28</v>
      </c>
      <c r="Y71" s="9"/>
      <c r="AA71" s="9"/>
    </row>
    <row r="72" spans="1:27" ht="15.75" x14ac:dyDescent="0.25">
      <c r="A72" s="66" t="s">
        <v>77</v>
      </c>
      <c r="B72" s="6" t="s">
        <v>88</v>
      </c>
      <c r="C72" s="68" t="s">
        <v>83</v>
      </c>
      <c r="D72" s="6" t="s">
        <v>89</v>
      </c>
      <c r="E72" s="6" t="s">
        <v>119</v>
      </c>
      <c r="F72" s="7" t="s">
        <v>37</v>
      </c>
      <c r="G72" s="32">
        <v>5</v>
      </c>
      <c r="H72" s="31"/>
      <c r="I72" s="32"/>
      <c r="J72" s="31"/>
      <c r="K72" s="32"/>
      <c r="L72" s="31"/>
      <c r="M72" s="32"/>
      <c r="N72" s="31"/>
      <c r="O72" s="32"/>
      <c r="P72" s="31"/>
      <c r="Q72" s="32"/>
      <c r="R72" s="31"/>
      <c r="S72" s="28">
        <f t="shared" ref="S72:S75" si="8">SUM(F72:R72)</f>
        <v>5</v>
      </c>
      <c r="T72" s="72" t="s">
        <v>82</v>
      </c>
      <c r="U72" s="8">
        <v>4</v>
      </c>
      <c r="V72" s="8">
        <v>5.28</v>
      </c>
      <c r="Y72" s="9"/>
      <c r="AA72" s="9"/>
    </row>
    <row r="73" spans="1:27" ht="15.75" x14ac:dyDescent="0.25">
      <c r="A73" s="66" t="s">
        <v>77</v>
      </c>
      <c r="B73" s="6" t="s">
        <v>88</v>
      </c>
      <c r="C73" s="68" t="s">
        <v>83</v>
      </c>
      <c r="D73" s="6" t="s">
        <v>89</v>
      </c>
      <c r="E73" s="6" t="s">
        <v>120</v>
      </c>
      <c r="F73" s="7" t="s">
        <v>37</v>
      </c>
      <c r="G73" s="32">
        <v>5</v>
      </c>
      <c r="H73" s="31"/>
      <c r="I73" s="32"/>
      <c r="J73" s="31"/>
      <c r="K73" s="32"/>
      <c r="L73" s="31"/>
      <c r="M73" s="32"/>
      <c r="N73" s="31"/>
      <c r="O73" s="32"/>
      <c r="P73" s="31"/>
      <c r="Q73" s="32"/>
      <c r="R73" s="31"/>
      <c r="S73" s="28">
        <f t="shared" si="8"/>
        <v>5</v>
      </c>
      <c r="T73" s="72" t="s">
        <v>82</v>
      </c>
      <c r="U73" s="8">
        <v>4</v>
      </c>
      <c r="V73" s="8">
        <v>5.28</v>
      </c>
      <c r="Y73" s="9"/>
      <c r="AA73" s="9"/>
    </row>
    <row r="74" spans="1:27" ht="15.75" x14ac:dyDescent="0.25">
      <c r="A74" s="66" t="s">
        <v>77</v>
      </c>
      <c r="B74" s="6" t="s">
        <v>88</v>
      </c>
      <c r="C74" s="68" t="s">
        <v>83</v>
      </c>
      <c r="D74" s="6" t="s">
        <v>89</v>
      </c>
      <c r="E74" s="6" t="s">
        <v>121</v>
      </c>
      <c r="F74" s="7" t="s">
        <v>37</v>
      </c>
      <c r="G74" s="32">
        <v>5</v>
      </c>
      <c r="H74" s="31"/>
      <c r="I74" s="32"/>
      <c r="J74" s="31"/>
      <c r="K74" s="32"/>
      <c r="L74" s="31"/>
      <c r="M74" s="32"/>
      <c r="N74" s="31"/>
      <c r="O74" s="32"/>
      <c r="P74" s="31"/>
      <c r="Q74" s="32"/>
      <c r="R74" s="31"/>
      <c r="S74" s="28">
        <f t="shared" si="8"/>
        <v>5</v>
      </c>
      <c r="T74" s="72" t="s">
        <v>82</v>
      </c>
      <c r="U74" s="8">
        <v>4</v>
      </c>
      <c r="V74" s="8">
        <v>5.28</v>
      </c>
      <c r="Y74" s="9"/>
      <c r="AA74" s="9"/>
    </row>
    <row r="75" spans="1:27" ht="15.75" x14ac:dyDescent="0.25">
      <c r="A75" s="66" t="s">
        <v>77</v>
      </c>
      <c r="B75" s="6" t="s">
        <v>88</v>
      </c>
      <c r="C75" s="68" t="s">
        <v>83</v>
      </c>
      <c r="D75" s="6" t="s">
        <v>89</v>
      </c>
      <c r="E75" s="6" t="s">
        <v>122</v>
      </c>
      <c r="F75" s="7" t="s">
        <v>37</v>
      </c>
      <c r="G75" s="32">
        <v>5</v>
      </c>
      <c r="H75" s="31"/>
      <c r="I75" s="32"/>
      <c r="J75" s="31"/>
      <c r="K75" s="32"/>
      <c r="L75" s="31"/>
      <c r="M75" s="32"/>
      <c r="N75" s="31"/>
      <c r="O75" s="32"/>
      <c r="P75" s="31"/>
      <c r="Q75" s="32"/>
      <c r="R75" s="31"/>
      <c r="S75" s="28">
        <f t="shared" si="8"/>
        <v>5</v>
      </c>
      <c r="T75" s="72" t="s">
        <v>82</v>
      </c>
      <c r="U75" s="8">
        <v>4</v>
      </c>
      <c r="V75" s="8">
        <v>5.28</v>
      </c>
      <c r="Y75" s="9"/>
      <c r="AA75" s="9"/>
    </row>
    <row r="76" spans="1:27" ht="15.75" x14ac:dyDescent="0.25">
      <c r="A76" s="66" t="s">
        <v>77</v>
      </c>
      <c r="B76" s="6" t="s">
        <v>88</v>
      </c>
      <c r="C76" s="68" t="s">
        <v>83</v>
      </c>
      <c r="D76" s="6" t="s">
        <v>89</v>
      </c>
      <c r="E76" s="6" t="s">
        <v>123</v>
      </c>
      <c r="F76" s="7" t="s">
        <v>37</v>
      </c>
      <c r="G76" s="32">
        <v>5</v>
      </c>
      <c r="H76" s="31"/>
      <c r="I76" s="32"/>
      <c r="J76" s="31"/>
      <c r="K76" s="32"/>
      <c r="L76" s="31"/>
      <c r="M76" s="32"/>
      <c r="N76" s="31"/>
      <c r="O76" s="32"/>
      <c r="P76" s="31"/>
      <c r="Q76" s="32"/>
      <c r="R76" s="31"/>
      <c r="S76" s="28">
        <f>SUM(F76:R76)</f>
        <v>5</v>
      </c>
      <c r="T76" s="72" t="s">
        <v>82</v>
      </c>
      <c r="U76" s="8">
        <v>4</v>
      </c>
      <c r="V76" s="8">
        <v>5.28</v>
      </c>
      <c r="Y76" s="9"/>
      <c r="AA76" s="9"/>
    </row>
    <row r="77" spans="1:27" ht="15.75" x14ac:dyDescent="0.25">
      <c r="A77" s="66" t="s">
        <v>77</v>
      </c>
      <c r="B77" s="6" t="s">
        <v>88</v>
      </c>
      <c r="C77" s="68" t="s">
        <v>83</v>
      </c>
      <c r="D77" s="6" t="s">
        <v>89</v>
      </c>
      <c r="E77" s="6" t="s">
        <v>124</v>
      </c>
      <c r="F77" s="7" t="s">
        <v>37</v>
      </c>
      <c r="G77" s="32">
        <v>5</v>
      </c>
      <c r="H77" s="31"/>
      <c r="I77" s="32"/>
      <c r="J77" s="31"/>
      <c r="K77" s="32"/>
      <c r="L77" s="31"/>
      <c r="M77" s="32"/>
      <c r="N77" s="31"/>
      <c r="O77" s="32"/>
      <c r="P77" s="31"/>
      <c r="Q77" s="32"/>
      <c r="R77" s="31"/>
      <c r="S77" s="28">
        <f>SUM(F77:R77)</f>
        <v>5</v>
      </c>
      <c r="T77" s="72" t="s">
        <v>82</v>
      </c>
      <c r="U77" s="8">
        <v>4</v>
      </c>
      <c r="V77" s="8">
        <v>5.28</v>
      </c>
      <c r="Y77" s="9"/>
      <c r="AA77" s="9"/>
    </row>
    <row r="78" spans="1:27" ht="15.75" x14ac:dyDescent="0.25">
      <c r="A78" s="66" t="s">
        <v>77</v>
      </c>
      <c r="B78" s="6" t="s">
        <v>88</v>
      </c>
      <c r="C78" s="68" t="s">
        <v>83</v>
      </c>
      <c r="D78" s="6" t="s">
        <v>89</v>
      </c>
      <c r="E78" s="6" t="s">
        <v>125</v>
      </c>
      <c r="F78" s="7" t="s">
        <v>37</v>
      </c>
      <c r="G78" s="32">
        <v>5</v>
      </c>
      <c r="H78" s="31"/>
      <c r="I78" s="32"/>
      <c r="J78" s="31"/>
      <c r="K78" s="32"/>
      <c r="L78" s="31"/>
      <c r="M78" s="32"/>
      <c r="N78" s="31"/>
      <c r="O78" s="32"/>
      <c r="P78" s="31"/>
      <c r="Q78" s="32"/>
      <c r="R78" s="31"/>
      <c r="S78" s="28">
        <f>SUM(F78:R78)</f>
        <v>5</v>
      </c>
      <c r="T78" s="72" t="s">
        <v>82</v>
      </c>
      <c r="U78" s="8">
        <v>4</v>
      </c>
      <c r="V78" s="8">
        <v>5.28</v>
      </c>
      <c r="Y78" s="9"/>
      <c r="AA78" s="9"/>
    </row>
    <row r="79" spans="1:27" ht="15.75" x14ac:dyDescent="0.25">
      <c r="A79" s="66" t="s">
        <v>77</v>
      </c>
      <c r="B79" s="6" t="s">
        <v>88</v>
      </c>
      <c r="C79" s="68" t="s">
        <v>83</v>
      </c>
      <c r="D79" s="6" t="s">
        <v>89</v>
      </c>
      <c r="E79" s="6" t="s">
        <v>126</v>
      </c>
      <c r="F79" s="7" t="s">
        <v>37</v>
      </c>
      <c r="G79" s="32">
        <v>5</v>
      </c>
      <c r="H79" s="31"/>
      <c r="I79" s="32"/>
      <c r="J79" s="31"/>
      <c r="K79" s="32"/>
      <c r="L79" s="31"/>
      <c r="M79" s="32"/>
      <c r="N79" s="31"/>
      <c r="O79" s="32"/>
      <c r="P79" s="31"/>
      <c r="Q79" s="32"/>
      <c r="R79" s="31"/>
      <c r="S79" s="28">
        <f t="shared" ref="S79" si="9">SUM(F79:R79)</f>
        <v>5</v>
      </c>
      <c r="T79" s="72" t="s">
        <v>82</v>
      </c>
      <c r="U79" s="8">
        <v>4</v>
      </c>
      <c r="V79" s="8">
        <v>5.28</v>
      </c>
      <c r="Y79" s="9"/>
      <c r="AA79" s="9"/>
    </row>
    <row r="80" spans="1:27" ht="15.75" x14ac:dyDescent="0.25">
      <c r="A80" s="66" t="s">
        <v>77</v>
      </c>
      <c r="B80" s="6" t="s">
        <v>88</v>
      </c>
      <c r="C80" s="68" t="s">
        <v>83</v>
      </c>
      <c r="D80" s="6" t="s">
        <v>89</v>
      </c>
      <c r="E80" s="6" t="s">
        <v>127</v>
      </c>
      <c r="F80" s="7" t="s">
        <v>37</v>
      </c>
      <c r="G80" s="32">
        <v>5</v>
      </c>
      <c r="H80" s="31"/>
      <c r="I80" s="32"/>
      <c r="J80" s="31"/>
      <c r="K80" s="32"/>
      <c r="L80" s="31"/>
      <c r="M80" s="32"/>
      <c r="N80" s="31"/>
      <c r="O80" s="32"/>
      <c r="P80" s="31"/>
      <c r="Q80" s="32"/>
      <c r="R80" s="31"/>
      <c r="S80" s="28">
        <f>SUM(F80:R80)</f>
        <v>5</v>
      </c>
      <c r="T80" s="72" t="s">
        <v>82</v>
      </c>
      <c r="U80" s="8">
        <v>4</v>
      </c>
      <c r="V80" s="8">
        <v>5.28</v>
      </c>
      <c r="Y80" s="9"/>
      <c r="AA80" s="9"/>
    </row>
    <row r="81" spans="1:27" ht="15.75" x14ac:dyDescent="0.25">
      <c r="A81" s="66" t="s">
        <v>77</v>
      </c>
      <c r="B81" s="6" t="s">
        <v>88</v>
      </c>
      <c r="C81" s="68" t="s">
        <v>83</v>
      </c>
      <c r="D81" s="6" t="s">
        <v>89</v>
      </c>
      <c r="E81" s="6" t="s">
        <v>128</v>
      </c>
      <c r="F81" s="7" t="s">
        <v>37</v>
      </c>
      <c r="G81" s="32">
        <v>5</v>
      </c>
      <c r="H81" s="31"/>
      <c r="I81" s="32"/>
      <c r="J81" s="31"/>
      <c r="K81" s="32"/>
      <c r="L81" s="31"/>
      <c r="M81" s="32"/>
      <c r="N81" s="31"/>
      <c r="O81" s="32"/>
      <c r="P81" s="31"/>
      <c r="Q81" s="32"/>
      <c r="R81" s="31"/>
      <c r="S81" s="28">
        <f>SUM(F81:R81)</f>
        <v>5</v>
      </c>
      <c r="T81" s="72" t="s">
        <v>82</v>
      </c>
      <c r="U81" s="8">
        <v>4</v>
      </c>
      <c r="V81" s="8">
        <v>5.28</v>
      </c>
      <c r="Y81" s="9"/>
      <c r="AA81" s="9"/>
    </row>
    <row r="82" spans="1:27" ht="15.75" x14ac:dyDescent="0.25">
      <c r="A82" s="66" t="s">
        <v>77</v>
      </c>
      <c r="B82" s="6" t="s">
        <v>88</v>
      </c>
      <c r="C82" s="68" t="s">
        <v>83</v>
      </c>
      <c r="D82" s="6" t="s">
        <v>89</v>
      </c>
      <c r="E82" s="6" t="s">
        <v>129</v>
      </c>
      <c r="F82" s="7" t="s">
        <v>37</v>
      </c>
      <c r="G82" s="32">
        <v>5</v>
      </c>
      <c r="H82" s="31"/>
      <c r="I82" s="32"/>
      <c r="J82" s="31"/>
      <c r="K82" s="32"/>
      <c r="L82" s="31"/>
      <c r="M82" s="32"/>
      <c r="N82" s="31"/>
      <c r="O82" s="32"/>
      <c r="P82" s="31"/>
      <c r="Q82" s="32"/>
      <c r="R82" s="31"/>
      <c r="S82" s="28">
        <f t="shared" ref="S82:S88" si="10">SUM(F82:R82)</f>
        <v>5</v>
      </c>
      <c r="T82" s="72" t="s">
        <v>82</v>
      </c>
      <c r="U82" s="8">
        <v>4</v>
      </c>
      <c r="V82" s="8">
        <v>5.28</v>
      </c>
      <c r="Y82" s="9"/>
      <c r="AA82" s="9"/>
    </row>
    <row r="83" spans="1:27" ht="15.75" x14ac:dyDescent="0.25">
      <c r="A83" s="66" t="s">
        <v>77</v>
      </c>
      <c r="B83" s="6" t="s">
        <v>88</v>
      </c>
      <c r="C83" s="68" t="s">
        <v>83</v>
      </c>
      <c r="D83" s="6" t="s">
        <v>89</v>
      </c>
      <c r="E83" s="6" t="s">
        <v>130</v>
      </c>
      <c r="F83" s="7" t="s">
        <v>37</v>
      </c>
      <c r="G83" s="32">
        <v>5</v>
      </c>
      <c r="H83" s="31"/>
      <c r="I83" s="32"/>
      <c r="J83" s="31"/>
      <c r="K83" s="32"/>
      <c r="L83" s="31"/>
      <c r="M83" s="32"/>
      <c r="N83" s="31"/>
      <c r="O83" s="32"/>
      <c r="P83" s="31"/>
      <c r="Q83" s="32"/>
      <c r="R83" s="31"/>
      <c r="S83" s="28">
        <f t="shared" si="10"/>
        <v>5</v>
      </c>
      <c r="T83" s="72" t="s">
        <v>82</v>
      </c>
      <c r="U83" s="8">
        <v>4</v>
      </c>
      <c r="V83" s="8">
        <v>5.28</v>
      </c>
      <c r="Y83" s="9"/>
      <c r="AA83" s="9"/>
    </row>
    <row r="84" spans="1:27" ht="15.75" x14ac:dyDescent="0.25">
      <c r="A84" s="66" t="s">
        <v>77</v>
      </c>
      <c r="B84" s="6" t="s">
        <v>88</v>
      </c>
      <c r="C84" s="68" t="s">
        <v>83</v>
      </c>
      <c r="D84" s="6" t="s">
        <v>89</v>
      </c>
      <c r="E84" s="6" t="s">
        <v>131</v>
      </c>
      <c r="F84" s="7" t="s">
        <v>37</v>
      </c>
      <c r="G84" s="32">
        <v>5</v>
      </c>
      <c r="H84" s="31"/>
      <c r="I84" s="32"/>
      <c r="J84" s="31"/>
      <c r="K84" s="32"/>
      <c r="L84" s="31"/>
      <c r="M84" s="32"/>
      <c r="N84" s="31"/>
      <c r="O84" s="32"/>
      <c r="P84" s="31"/>
      <c r="Q84" s="32"/>
      <c r="R84" s="31"/>
      <c r="S84" s="28">
        <f t="shared" si="10"/>
        <v>5</v>
      </c>
      <c r="T84" s="72" t="s">
        <v>82</v>
      </c>
      <c r="U84" s="8">
        <v>4</v>
      </c>
      <c r="V84" s="8">
        <v>5.28</v>
      </c>
      <c r="Y84" s="9"/>
      <c r="AA84" s="9"/>
    </row>
    <row r="85" spans="1:27" ht="15.75" x14ac:dyDescent="0.25">
      <c r="A85" s="66" t="s">
        <v>77</v>
      </c>
      <c r="B85" s="6" t="s">
        <v>88</v>
      </c>
      <c r="C85" s="68" t="s">
        <v>83</v>
      </c>
      <c r="D85" s="6" t="s">
        <v>89</v>
      </c>
      <c r="E85" s="6" t="s">
        <v>132</v>
      </c>
      <c r="F85" s="7" t="s">
        <v>37</v>
      </c>
      <c r="G85" s="32">
        <v>5</v>
      </c>
      <c r="H85" s="31"/>
      <c r="I85" s="32"/>
      <c r="J85" s="31"/>
      <c r="K85" s="32"/>
      <c r="L85" s="31"/>
      <c r="M85" s="32"/>
      <c r="N85" s="31"/>
      <c r="O85" s="32"/>
      <c r="P85" s="31"/>
      <c r="Q85" s="32"/>
      <c r="R85" s="31"/>
      <c r="S85" s="28">
        <f t="shared" si="10"/>
        <v>5</v>
      </c>
      <c r="T85" s="72" t="s">
        <v>82</v>
      </c>
      <c r="U85" s="8">
        <v>4</v>
      </c>
      <c r="V85" s="8">
        <v>5.28</v>
      </c>
      <c r="Y85" s="9"/>
      <c r="AA85" s="9"/>
    </row>
    <row r="86" spans="1:27" ht="15.75" x14ac:dyDescent="0.25">
      <c r="A86" s="66" t="s">
        <v>77</v>
      </c>
      <c r="B86" s="6" t="s">
        <v>88</v>
      </c>
      <c r="C86" s="68" t="s">
        <v>83</v>
      </c>
      <c r="D86" s="6" t="s">
        <v>89</v>
      </c>
      <c r="E86" s="6" t="s">
        <v>133</v>
      </c>
      <c r="F86" s="7" t="s">
        <v>37</v>
      </c>
      <c r="G86" s="32">
        <v>5</v>
      </c>
      <c r="H86" s="31"/>
      <c r="I86" s="32"/>
      <c r="J86" s="31"/>
      <c r="K86" s="32"/>
      <c r="L86" s="31"/>
      <c r="M86" s="32"/>
      <c r="N86" s="31"/>
      <c r="O86" s="32"/>
      <c r="P86" s="31"/>
      <c r="Q86" s="32"/>
      <c r="R86" s="31"/>
      <c r="S86" s="28">
        <f t="shared" si="10"/>
        <v>5</v>
      </c>
      <c r="T86" s="72" t="s">
        <v>82</v>
      </c>
      <c r="U86" s="8">
        <v>4</v>
      </c>
      <c r="V86" s="8">
        <v>5.28</v>
      </c>
      <c r="Y86" s="9"/>
      <c r="AA86" s="9"/>
    </row>
    <row r="87" spans="1:27" ht="15.75" x14ac:dyDescent="0.25">
      <c r="A87" s="66" t="s">
        <v>77</v>
      </c>
      <c r="B87" s="6" t="s">
        <v>88</v>
      </c>
      <c r="C87" s="68" t="s">
        <v>83</v>
      </c>
      <c r="D87" s="6" t="s">
        <v>89</v>
      </c>
      <c r="E87" s="6" t="s">
        <v>134</v>
      </c>
      <c r="F87" s="7" t="s">
        <v>37</v>
      </c>
      <c r="G87" s="32">
        <v>5</v>
      </c>
      <c r="H87" s="31"/>
      <c r="I87" s="32"/>
      <c r="J87" s="31"/>
      <c r="K87" s="32"/>
      <c r="L87" s="31"/>
      <c r="M87" s="32"/>
      <c r="N87" s="31"/>
      <c r="O87" s="32"/>
      <c r="P87" s="31"/>
      <c r="Q87" s="32"/>
      <c r="R87" s="31"/>
      <c r="S87" s="28">
        <f t="shared" si="10"/>
        <v>5</v>
      </c>
      <c r="T87" s="72" t="s">
        <v>82</v>
      </c>
      <c r="U87" s="8">
        <v>4</v>
      </c>
      <c r="V87" s="8">
        <v>5.28</v>
      </c>
      <c r="Y87" s="9"/>
      <c r="AA87" s="9"/>
    </row>
    <row r="88" spans="1:27" ht="15.75" x14ac:dyDescent="0.25">
      <c r="A88" s="66" t="s">
        <v>77</v>
      </c>
      <c r="B88" s="6" t="s">
        <v>88</v>
      </c>
      <c r="C88" s="68" t="s">
        <v>83</v>
      </c>
      <c r="D88" s="6" t="s">
        <v>89</v>
      </c>
      <c r="E88" s="6" t="s">
        <v>135</v>
      </c>
      <c r="F88" s="7" t="s">
        <v>37</v>
      </c>
      <c r="G88" s="32">
        <v>5</v>
      </c>
      <c r="H88" s="31"/>
      <c r="I88" s="32"/>
      <c r="J88" s="31"/>
      <c r="K88" s="32"/>
      <c r="L88" s="31"/>
      <c r="M88" s="32"/>
      <c r="N88" s="31"/>
      <c r="O88" s="32"/>
      <c r="P88" s="31"/>
      <c r="Q88" s="32"/>
      <c r="R88" s="31"/>
      <c r="S88" s="28">
        <f t="shared" si="10"/>
        <v>5</v>
      </c>
      <c r="T88" s="72" t="s">
        <v>82</v>
      </c>
      <c r="U88" s="8">
        <v>4</v>
      </c>
      <c r="V88" s="8">
        <v>5.28</v>
      </c>
      <c r="Y88" s="9"/>
      <c r="AA88" s="9"/>
    </row>
    <row r="89" spans="1:27" ht="15.75" x14ac:dyDescent="0.25">
      <c r="A89" s="66" t="s">
        <v>77</v>
      </c>
      <c r="B89" s="6" t="s">
        <v>88</v>
      </c>
      <c r="C89" s="68" t="s">
        <v>83</v>
      </c>
      <c r="D89" s="6" t="s">
        <v>89</v>
      </c>
      <c r="E89" s="6" t="s">
        <v>136</v>
      </c>
      <c r="F89" s="7" t="s">
        <v>37</v>
      </c>
      <c r="G89" s="32">
        <v>3</v>
      </c>
      <c r="H89" s="31"/>
      <c r="I89" s="32"/>
      <c r="J89" s="31"/>
      <c r="K89" s="32"/>
      <c r="L89" s="31"/>
      <c r="M89" s="32"/>
      <c r="N89" s="31"/>
      <c r="O89" s="32"/>
      <c r="P89" s="31"/>
      <c r="Q89" s="32"/>
      <c r="R89" s="31"/>
      <c r="S89" s="28">
        <f t="shared" ref="S89" si="11">SUM(F89:R89)</f>
        <v>3</v>
      </c>
      <c r="T89" s="72" t="s">
        <v>82</v>
      </c>
      <c r="U89" s="8">
        <v>2</v>
      </c>
      <c r="V89" s="8">
        <v>3.5</v>
      </c>
      <c r="Y89" s="9"/>
      <c r="AA89" s="9"/>
    </row>
    <row r="90" spans="1:27" x14ac:dyDescent="0.25">
      <c r="A90" s="67"/>
      <c r="B90" s="26"/>
      <c r="C90" s="69"/>
      <c r="D90" s="26"/>
      <c r="E90" s="6"/>
      <c r="G90" s="32"/>
      <c r="H90" s="31"/>
      <c r="I90" s="32"/>
      <c r="J90" s="31"/>
      <c r="K90" s="32"/>
      <c r="L90" s="31"/>
      <c r="M90" s="32"/>
      <c r="N90" s="31"/>
      <c r="O90" s="32"/>
      <c r="P90" s="31"/>
      <c r="Q90" s="32"/>
      <c r="R90" s="31"/>
      <c r="S90" s="75"/>
      <c r="T90" s="72"/>
      <c r="U90" s="8"/>
      <c r="V90" s="8"/>
    </row>
    <row r="91" spans="1:27" s="10" customFormat="1" ht="15.75" x14ac:dyDescent="0.25">
      <c r="A91" s="12"/>
      <c r="B91" s="71"/>
      <c r="C91" s="13"/>
      <c r="D91" s="33"/>
      <c r="E91" s="33"/>
      <c r="F91" s="33"/>
      <c r="G91" s="33">
        <f>SUM(G20:G90)</f>
        <v>348</v>
      </c>
      <c r="H91" s="33">
        <f>SUM(H20:H90)</f>
        <v>0</v>
      </c>
      <c r="I91" s="33">
        <f>SUM(I20:I90)</f>
        <v>0</v>
      </c>
      <c r="J91" s="13">
        <f>SUM(J20:J90)</f>
        <v>0</v>
      </c>
      <c r="K91" s="13">
        <f>SUM(K20:K90)</f>
        <v>0</v>
      </c>
      <c r="L91" s="13">
        <f>SUM(L20:L90)</f>
        <v>0</v>
      </c>
      <c r="M91" s="13">
        <f>SUM(M20:M90)</f>
        <v>0</v>
      </c>
      <c r="N91" s="13">
        <f>SUM(N20:N90)</f>
        <v>0</v>
      </c>
      <c r="O91" s="13">
        <f>SUM(O20:O90)</f>
        <v>0</v>
      </c>
      <c r="P91" s="13">
        <f>SUM(P20:P90)</f>
        <v>0</v>
      </c>
      <c r="Q91" s="13">
        <f>SUM(Q20:Q90)</f>
        <v>0</v>
      </c>
      <c r="R91" s="27">
        <f>SUM(R20:R90)</f>
        <v>0</v>
      </c>
      <c r="S91" s="74">
        <f>SUM(S20:S90)</f>
        <v>348</v>
      </c>
      <c r="T91" s="29"/>
      <c r="U91" s="14">
        <f>SUM(U20:U90)</f>
        <v>278</v>
      </c>
      <c r="V91" s="14">
        <f>SUM(V20:V90)</f>
        <v>367.81999999999948</v>
      </c>
      <c r="Y91"/>
      <c r="AA91"/>
    </row>
    <row r="92" spans="1:27" ht="16.5" thickBot="1" x14ac:dyDescent="0.3"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5"/>
      <c r="N92" s="11"/>
      <c r="Y92" s="10"/>
      <c r="AA92" s="10"/>
    </row>
    <row r="93" spans="1:27" ht="15.75" thickBot="1" x14ac:dyDescent="0.3">
      <c r="A93" s="36" t="s">
        <v>57</v>
      </c>
      <c r="B93" s="37"/>
      <c r="C93"/>
      <c r="E93" s="2"/>
      <c r="M93" s="4"/>
      <c r="N93"/>
      <c r="T93" s="47" t="s">
        <v>61</v>
      </c>
      <c r="U93" s="48"/>
      <c r="V93" s="49"/>
    </row>
    <row r="94" spans="1:27" x14ac:dyDescent="0.25">
      <c r="A94" s="36" t="s">
        <v>52</v>
      </c>
      <c r="B94" s="37"/>
      <c r="C94"/>
      <c r="E94" s="2"/>
      <c r="M94" s="4"/>
      <c r="N94"/>
      <c r="T94" s="40" t="s">
        <v>59</v>
      </c>
      <c r="U94" s="41"/>
      <c r="V94" s="42">
        <f>+S91</f>
        <v>348</v>
      </c>
    </row>
    <row r="95" spans="1:27" x14ac:dyDescent="0.25">
      <c r="A95" s="4"/>
      <c r="B95" s="4"/>
      <c r="C95"/>
      <c r="E95" s="2"/>
      <c r="M95" s="4"/>
      <c r="N95"/>
      <c r="T95" s="40" t="s">
        <v>66</v>
      </c>
      <c r="U95" s="41" t="s">
        <v>62</v>
      </c>
      <c r="V95" s="42">
        <v>70</v>
      </c>
    </row>
    <row r="96" spans="1:27" x14ac:dyDescent="0.25">
      <c r="A96" s="36" t="s">
        <v>58</v>
      </c>
      <c r="B96" s="37"/>
      <c r="C96"/>
      <c r="E96" s="2"/>
      <c r="M96" s="4"/>
      <c r="N96"/>
      <c r="T96" s="40" t="s">
        <v>63</v>
      </c>
      <c r="U96" s="41" t="s">
        <v>64</v>
      </c>
      <c r="V96" s="43">
        <f>V91</f>
        <v>367.81999999999948</v>
      </c>
    </row>
    <row r="97" spans="1:22" x14ac:dyDescent="0.25">
      <c r="A97" s="36" t="s">
        <v>52</v>
      </c>
      <c r="B97" s="37"/>
      <c r="C97"/>
      <c r="E97" s="2"/>
      <c r="H97" s="2"/>
      <c r="M97" s="4"/>
      <c r="N97"/>
      <c r="T97" s="40" t="s">
        <v>65</v>
      </c>
      <c r="U97" s="41" t="s">
        <v>64</v>
      </c>
      <c r="V97" s="43">
        <f>U91</f>
        <v>278</v>
      </c>
    </row>
    <row r="98" spans="1:22" ht="15.75" thickBot="1" x14ac:dyDescent="0.3">
      <c r="C98"/>
      <c r="E98" s="2"/>
      <c r="H98" s="2"/>
      <c r="M98" s="4"/>
      <c r="N98"/>
      <c r="T98" s="44" t="s">
        <v>60</v>
      </c>
      <c r="U98" s="45"/>
      <c r="V98" s="46">
        <v>6.72</v>
      </c>
    </row>
    <row r="99" spans="1:22" x14ac:dyDescent="0.25">
      <c r="F99" s="2"/>
      <c r="I99" s="2"/>
    </row>
    <row r="100" spans="1:22" x14ac:dyDescent="0.25">
      <c r="F100" s="2"/>
      <c r="I100" s="2"/>
    </row>
    <row r="101" spans="1:22" x14ac:dyDescent="0.25">
      <c r="A101" s="3"/>
      <c r="B101" s="3"/>
      <c r="F101" s="2"/>
      <c r="I101" s="2"/>
    </row>
    <row r="102" spans="1:22" x14ac:dyDescent="0.25">
      <c r="F102" s="2"/>
      <c r="I102" s="2"/>
    </row>
    <row r="103" spans="1:22" x14ac:dyDescent="0.25">
      <c r="F103" s="2"/>
      <c r="I103" s="2"/>
    </row>
    <row r="104" spans="1:22" x14ac:dyDescent="0.25">
      <c r="F104" s="2"/>
      <c r="I104" s="2"/>
    </row>
    <row r="105" spans="1:22" x14ac:dyDescent="0.25">
      <c r="F105" s="2"/>
      <c r="I105" s="2"/>
    </row>
    <row r="106" spans="1:22" x14ac:dyDescent="0.25">
      <c r="I106" s="2"/>
    </row>
    <row r="107" spans="1:22" x14ac:dyDescent="0.25">
      <c r="I107" s="2"/>
    </row>
    <row r="108" spans="1:22" x14ac:dyDescent="0.25">
      <c r="I108" s="2"/>
    </row>
    <row r="109" spans="1:22" x14ac:dyDescent="0.25">
      <c r="I109" s="2"/>
    </row>
    <row r="110" spans="1:22" x14ac:dyDescent="0.25">
      <c r="I110" s="2"/>
    </row>
  </sheetData>
  <mergeCells count="1">
    <mergeCell ref="A1:V1"/>
  </mergeCells>
  <phoneticPr fontId="3" type="noConversion"/>
  <printOptions horizontalCentered="1"/>
  <pageMargins left="0" right="0" top="0.74803149606299213" bottom="0.15748031496062992" header="0.31496062992125984" footer="0.31496062992125984"/>
  <pageSetup paperSize="9" scale="6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CC27E9-E45F-4706-A1E6-D49702E0FBC5}">
          <x14:formula1>
            <xm:f>Feuil1!$A$2:$A$5</xm:f>
          </x14:formula1>
          <xm:sqref>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9BE6-D4A3-49A9-B3A5-D0FBB7689A25}">
  <dimension ref="A1:A5"/>
  <sheetViews>
    <sheetView workbookViewId="0">
      <selection activeCell="A12" sqref="A12"/>
    </sheetView>
  </sheetViews>
  <sheetFormatPr baseColWidth="10" defaultRowHeight="15" x14ac:dyDescent="0.25"/>
  <cols>
    <col min="1" max="1" width="12.85546875" customWidth="1"/>
  </cols>
  <sheetData>
    <row r="1" spans="1:1" x14ac:dyDescent="0.25">
      <c r="A1" s="65" t="s">
        <v>73</v>
      </c>
    </row>
    <row r="2" spans="1:1" x14ac:dyDescent="0.25">
      <c r="A2" s="63" t="s">
        <v>54</v>
      </c>
    </row>
    <row r="3" spans="1:1" x14ac:dyDescent="0.25">
      <c r="A3" s="61" t="s">
        <v>74</v>
      </c>
    </row>
    <row r="4" spans="1:1" x14ac:dyDescent="0.25">
      <c r="A4" s="62" t="s">
        <v>75</v>
      </c>
    </row>
    <row r="5" spans="1:1" x14ac:dyDescent="0.25">
      <c r="A5" s="64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FB493CF5D4C49A0741EC35E4C782C" ma:contentTypeVersion="0" ma:contentTypeDescription="Crée un document." ma:contentTypeScope="" ma:versionID="4b27970f16701e9c5aa8a6ed8a86530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f359f8ee5a19e0806de7ff9df60a2f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74B3C-4710-4DCB-ADCA-13EEAEFE3C5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D5A682E-011F-4C7E-8911-54446B832294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F130C66-40AB-4D1F-9751-E95EA40B5B1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C958B55-1D82-44F2-8E2C-1D9E0B299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Tableau1</vt:lpstr>
      <vt:lpstr>STANDARD PKL H26</vt:lpstr>
      <vt:lpstr>Feuil1</vt:lpstr>
      <vt:lpstr>'STANDARD PKL H26'!Área_de_impresión</vt:lpstr>
      <vt:lpstr>'STANDARD PKL H26'!Títulos_a_imprimir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Herve Barre</dc:creator>
  <cp:lastModifiedBy>Carme Fabrega</cp:lastModifiedBy>
  <cp:lastPrinted>2026-07-02T10:27:29Z</cp:lastPrinted>
  <dcterms:created xsi:type="dcterms:W3CDTF">2022-06-17T13:49:27Z</dcterms:created>
  <dcterms:modified xsi:type="dcterms:W3CDTF">2026-07-17T10:59:05Z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0x010100AF8FB493CF5D4C49A0741EC35E4C782C</vt:lpwstr>
  </property>
</Properties>
</file>