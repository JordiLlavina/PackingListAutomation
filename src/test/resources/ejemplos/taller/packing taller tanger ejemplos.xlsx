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i\Downloads\"/>
    </mc:Choice>
  </mc:AlternateContent>
  <xr:revisionPtr revIDLastSave="0" documentId="8_{5C63AB04-7D9A-466A-BAA9-7968B47C819E}" xr6:coauthVersionLast="47" xr6:coauthVersionMax="47" xr10:uidLastSave="{00000000-0000-0000-0000-000000000000}"/>
  <bookViews>
    <workbookView xWindow="-108" yWindow="-108" windowWidth="23256" windowHeight="12456" xr2:uid="{88CF8AC0-BEE9-4AAD-B3A8-B64B0FB9F9E9}"/>
  </bookViews>
  <sheets>
    <sheet name="11-07" sheetId="2" r:id="rId1"/>
    <sheet name="01-08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2" l="1"/>
  <c r="H23" i="2"/>
  <c r="H19" i="2"/>
  <c r="H15" i="2"/>
  <c r="H7" i="2"/>
  <c r="H19" i="1"/>
  <c r="H15" i="1"/>
  <c r="H12" i="1"/>
  <c r="G6" i="1"/>
  <c r="G4" i="1"/>
</calcChain>
</file>

<file path=xl/sharedStrings.xml><?xml version="1.0" encoding="utf-8"?>
<sst xmlns="http://schemas.openxmlformats.org/spreadsheetml/2006/main" count="119" uniqueCount="81">
  <si>
    <t>Nº Cajas</t>
  </si>
  <si>
    <t>Envío</t>
  </si>
  <si>
    <t>Model</t>
  </si>
  <si>
    <t>Code</t>
  </si>
  <si>
    <t>Colour</t>
  </si>
  <si>
    <t>Qté</t>
  </si>
  <si>
    <t>1-</t>
  </si>
  <si>
    <t>DOUANES USA 711/WHO 723</t>
  </si>
  <si>
    <t>Negro</t>
  </si>
  <si>
    <t>REtail 697</t>
  </si>
  <si>
    <t>JAPAN 682</t>
  </si>
  <si>
    <t>Liquen</t>
  </si>
  <si>
    <t>JAPAN 682/ DOUANES USA 710</t>
  </si>
  <si>
    <t>5--9</t>
  </si>
  <si>
    <t>WHOLESALE 726</t>
  </si>
  <si>
    <t>10-</t>
  </si>
  <si>
    <t>11--12</t>
  </si>
  <si>
    <t>14--24</t>
  </si>
  <si>
    <t>WHOLSEALE 726</t>
  </si>
  <si>
    <t>AMARENA</t>
  </si>
  <si>
    <t>WHOLSEALE 727</t>
  </si>
  <si>
    <t>26--30</t>
  </si>
  <si>
    <t>Wholesale 725</t>
  </si>
  <si>
    <t>32--38</t>
  </si>
  <si>
    <t>Retail 699</t>
  </si>
  <si>
    <t>39--41</t>
  </si>
  <si>
    <t>KOREA 860</t>
  </si>
  <si>
    <t>43--49</t>
  </si>
  <si>
    <t>WHOLSEALE 927</t>
  </si>
  <si>
    <t>CAJA 13</t>
  </si>
  <si>
    <t>23 BOLSAS +ETQUETAS</t>
  </si>
  <si>
    <t>CAJA 11-12-13</t>
  </si>
  <si>
    <t>MAL</t>
  </si>
  <si>
    <t>1 MAL -11 BOLSAS -ETIQUETAS</t>
  </si>
  <si>
    <t>24 MAL</t>
  </si>
  <si>
    <t>1 MAL -SIN BOLSAS -ETIQUETAS</t>
  </si>
  <si>
    <t>2 MAL SIN ETIQETA SIN BOLSAS +3 BOLSA TELA +ETIQUETA</t>
  </si>
  <si>
    <t xml:space="preserve">1 MAL +ETQUETTA+BOLSA TELA </t>
  </si>
  <si>
    <t>1-2-3</t>
  </si>
  <si>
    <t>263</t>
  </si>
  <si>
    <t>Korea 690</t>
  </si>
  <si>
    <t>4-5</t>
  </si>
  <si>
    <t>Douanes USA 711</t>
  </si>
  <si>
    <t>6</t>
  </si>
  <si>
    <t>7-8-9</t>
  </si>
  <si>
    <t>Douanes USA 712</t>
  </si>
  <si>
    <t>10</t>
  </si>
  <si>
    <t>11-27</t>
  </si>
  <si>
    <t>Wholesale 862</t>
  </si>
  <si>
    <t>28-31</t>
  </si>
  <si>
    <t>Gris</t>
  </si>
  <si>
    <t>32-33</t>
  </si>
  <si>
    <t>DOUANES USA 711</t>
  </si>
  <si>
    <t>34-35</t>
  </si>
  <si>
    <t>China Franch 863</t>
  </si>
  <si>
    <t>36-42</t>
  </si>
  <si>
    <t>43</t>
  </si>
  <si>
    <t>44-45</t>
  </si>
  <si>
    <t>Retail 696</t>
  </si>
  <si>
    <t>48--51</t>
  </si>
  <si>
    <t>264</t>
  </si>
  <si>
    <t>G7008</t>
  </si>
  <si>
    <t>JAPAN 683</t>
  </si>
  <si>
    <t>52--</t>
  </si>
  <si>
    <t>CHINE FRENCH 863</t>
  </si>
  <si>
    <t>53---57</t>
  </si>
  <si>
    <t>58--</t>
  </si>
  <si>
    <t>59--</t>
  </si>
  <si>
    <t>TABAC</t>
  </si>
  <si>
    <t>60--66</t>
  </si>
  <si>
    <t>67-</t>
  </si>
  <si>
    <t>68-</t>
  </si>
  <si>
    <t>69--77</t>
  </si>
  <si>
    <t>WHolesale 725</t>
  </si>
  <si>
    <t>CAJA 27</t>
  </si>
  <si>
    <t>46--47</t>
  </si>
  <si>
    <t>57--</t>
  </si>
  <si>
    <t>67--</t>
  </si>
  <si>
    <t>ETIQUETAS</t>
  </si>
  <si>
    <t>68--</t>
  </si>
  <si>
    <t>79--80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</si>
</sst>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17" fontId="1" fillId="2" borderId="0" xfId="0" applyNumberFormat="1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17" fontId="1" fillId="0" borderId="0" xfId="0" applyNumberFormat="1" applyFont="1" applyAlignment="1">
      <alignment vertical="center"/>
    </xf>
    <xf numFmtId="0" fontId="1" fillId="3" borderId="26" xfId="0" applyFont="1" applyFill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17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02C2-2B8C-411E-B3A0-E110046212E6}">
  <dimension ref="A1:J35"/>
  <sheetViews>
    <sheetView tabSelected="1" topLeftCell="A4" workbookViewId="0">
      <selection activeCell="F36" sqref="F36"/>
    </sheetView>
  </sheetViews>
  <sheetFormatPr baseColWidth="10" defaultColWidth="9.109375" defaultRowHeight="18" x14ac:dyDescent="0.3"/>
  <cols>
    <col min="1" max="1" width="15.6640625" style="88" customWidth="1"/>
    <col min="2" max="3" width="15.6640625" style="44" customWidth="1"/>
    <col min="4" max="4" width="22.88671875" style="44" customWidth="1"/>
    <col min="5" max="6" width="15.6640625" style="44" customWidth="1"/>
    <col min="7" max="9" width="9.109375" style="44"/>
    <col min="10" max="10" width="9.6640625" style="44" bestFit="1" customWidth="1"/>
    <col min="11" max="16384" width="9.109375" style="44"/>
  </cols>
  <sheetData>
    <row r="1" spans="1:10" ht="18.600000000000001" thickBot="1" x14ac:dyDescent="0.3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</row>
    <row r="2" spans="1:10" x14ac:dyDescent="0.3">
      <c r="A2" s="45" t="s">
        <v>38</v>
      </c>
      <c r="B2" s="46" t="s">
        <v>39</v>
      </c>
      <c r="C2" s="47">
        <v>67008</v>
      </c>
      <c r="D2" s="48" t="s">
        <v>40</v>
      </c>
      <c r="E2" s="49" t="s">
        <v>8</v>
      </c>
      <c r="F2" s="50">
        <v>10</v>
      </c>
      <c r="G2" s="44">
        <v>30</v>
      </c>
    </row>
    <row r="3" spans="1:10" x14ac:dyDescent="0.3">
      <c r="A3" s="51" t="s">
        <v>41</v>
      </c>
      <c r="B3" s="52"/>
      <c r="C3" s="53"/>
      <c r="D3" s="54" t="s">
        <v>42</v>
      </c>
      <c r="E3" s="55"/>
      <c r="F3" s="56">
        <v>10</v>
      </c>
      <c r="G3" s="44">
        <v>20</v>
      </c>
      <c r="J3" s="57"/>
    </row>
    <row r="4" spans="1:10" x14ac:dyDescent="0.3">
      <c r="A4" s="51" t="s">
        <v>43</v>
      </c>
      <c r="B4" s="52"/>
      <c r="C4" s="53"/>
      <c r="D4" s="54" t="s">
        <v>42</v>
      </c>
      <c r="E4" s="55"/>
      <c r="F4" s="56">
        <v>6</v>
      </c>
      <c r="G4" s="44">
        <v>6</v>
      </c>
    </row>
    <row r="5" spans="1:10" x14ac:dyDescent="0.3">
      <c r="A5" s="51" t="s">
        <v>44</v>
      </c>
      <c r="B5" s="52"/>
      <c r="C5" s="53"/>
      <c r="D5" s="58" t="s">
        <v>45</v>
      </c>
      <c r="E5" s="55"/>
      <c r="F5" s="56">
        <v>10</v>
      </c>
      <c r="G5" s="44">
        <v>30</v>
      </c>
    </row>
    <row r="6" spans="1:10" x14ac:dyDescent="0.3">
      <c r="A6" s="51" t="s">
        <v>46</v>
      </c>
      <c r="B6" s="52"/>
      <c r="C6" s="53"/>
      <c r="D6" s="58" t="s">
        <v>45</v>
      </c>
      <c r="E6" s="55"/>
      <c r="F6" s="56">
        <v>7</v>
      </c>
      <c r="G6" s="44">
        <v>7</v>
      </c>
    </row>
    <row r="7" spans="1:10" x14ac:dyDescent="0.3">
      <c r="A7" s="51" t="s">
        <v>47</v>
      </c>
      <c r="B7" s="52"/>
      <c r="C7" s="53"/>
      <c r="D7" s="54" t="s">
        <v>48</v>
      </c>
      <c r="E7" s="59"/>
      <c r="F7" s="56">
        <v>10</v>
      </c>
      <c r="G7" s="44">
        <v>170</v>
      </c>
      <c r="H7" s="44">
        <f>+G7+G6+G5+G4+G3+G2</f>
        <v>263</v>
      </c>
    </row>
    <row r="8" spans="1:10" x14ac:dyDescent="0.3">
      <c r="A8" s="51" t="s">
        <v>49</v>
      </c>
      <c r="B8" s="52" t="s">
        <v>39</v>
      </c>
      <c r="C8" s="53"/>
      <c r="D8" s="54" t="s">
        <v>40</v>
      </c>
      <c r="E8" s="60" t="s">
        <v>50</v>
      </c>
      <c r="F8" s="56">
        <v>10</v>
      </c>
      <c r="G8" s="44">
        <v>40</v>
      </c>
    </row>
    <row r="9" spans="1:10" x14ac:dyDescent="0.3">
      <c r="A9" s="51" t="s">
        <v>51</v>
      </c>
      <c r="B9" s="52"/>
      <c r="C9" s="53"/>
      <c r="D9" s="54" t="s">
        <v>52</v>
      </c>
      <c r="E9" s="55"/>
      <c r="F9" s="56">
        <v>8</v>
      </c>
      <c r="G9" s="44">
        <v>16</v>
      </c>
    </row>
    <row r="10" spans="1:10" x14ac:dyDescent="0.3">
      <c r="A10" s="51" t="s">
        <v>53</v>
      </c>
      <c r="B10" s="52"/>
      <c r="C10" s="53"/>
      <c r="D10" s="54" t="s">
        <v>54</v>
      </c>
      <c r="E10" s="55"/>
      <c r="F10" s="56">
        <v>10</v>
      </c>
      <c r="G10" s="44">
        <v>20</v>
      </c>
    </row>
    <row r="11" spans="1:10" x14ac:dyDescent="0.3">
      <c r="A11" s="51" t="s">
        <v>55</v>
      </c>
      <c r="B11" s="52"/>
      <c r="C11" s="53"/>
      <c r="D11" s="54" t="s">
        <v>48</v>
      </c>
      <c r="E11" s="55"/>
      <c r="F11" s="56">
        <v>10</v>
      </c>
      <c r="G11" s="44">
        <v>70</v>
      </c>
    </row>
    <row r="12" spans="1:10" x14ac:dyDescent="0.3">
      <c r="A12" s="51" t="s">
        <v>56</v>
      </c>
      <c r="B12" s="52"/>
      <c r="C12" s="53"/>
      <c r="D12" s="54" t="s">
        <v>48</v>
      </c>
      <c r="E12" s="55"/>
      <c r="F12" s="56">
        <v>6</v>
      </c>
      <c r="G12" s="44">
        <v>6</v>
      </c>
    </row>
    <row r="13" spans="1:10" x14ac:dyDescent="0.3">
      <c r="A13" s="51" t="s">
        <v>57</v>
      </c>
      <c r="B13" s="52"/>
      <c r="C13" s="53"/>
      <c r="D13" s="54" t="s">
        <v>58</v>
      </c>
      <c r="E13" s="55"/>
      <c r="F13" s="56">
        <v>10</v>
      </c>
      <c r="G13" s="44">
        <v>20</v>
      </c>
    </row>
    <row r="14" spans="1:10" x14ac:dyDescent="0.3">
      <c r="A14" s="51">
        <v>46</v>
      </c>
      <c r="B14" s="52"/>
      <c r="C14" s="53"/>
      <c r="D14" s="54" t="s">
        <v>58</v>
      </c>
      <c r="E14" s="55"/>
      <c r="F14" s="56">
        <v>12</v>
      </c>
    </row>
    <row r="15" spans="1:10" ht="18.600000000000001" thickBot="1" x14ac:dyDescent="0.35">
      <c r="A15" s="61">
        <v>47</v>
      </c>
      <c r="B15" s="62"/>
      <c r="C15" s="63"/>
      <c r="D15" s="64" t="s">
        <v>58</v>
      </c>
      <c r="E15" s="65"/>
      <c r="F15" s="66">
        <v>13</v>
      </c>
      <c r="H15" s="44">
        <f>+F15+F14+G13+G12+G11+G10+G9+G8</f>
        <v>197</v>
      </c>
    </row>
    <row r="16" spans="1:10" x14ac:dyDescent="0.3">
      <c r="A16" s="67" t="s">
        <v>59</v>
      </c>
      <c r="B16" s="68" t="s">
        <v>60</v>
      </c>
      <c r="C16" s="69" t="s">
        <v>61</v>
      </c>
      <c r="D16" s="70" t="s">
        <v>62</v>
      </c>
      <c r="E16" s="59" t="s">
        <v>11</v>
      </c>
      <c r="F16" s="71">
        <v>10</v>
      </c>
      <c r="G16" s="44">
        <v>40</v>
      </c>
    </row>
    <row r="17" spans="1:8" x14ac:dyDescent="0.3">
      <c r="A17" s="51" t="s">
        <v>63</v>
      </c>
      <c r="B17" s="52"/>
      <c r="C17" s="72"/>
      <c r="D17" s="54" t="s">
        <v>64</v>
      </c>
      <c r="E17" s="73"/>
      <c r="F17" s="56">
        <v>10</v>
      </c>
      <c r="G17" s="44">
        <v>10</v>
      </c>
    </row>
    <row r="18" spans="1:8" x14ac:dyDescent="0.3">
      <c r="A18" s="51" t="s">
        <v>65</v>
      </c>
      <c r="B18" s="52"/>
      <c r="C18" s="72"/>
      <c r="D18" s="54" t="s">
        <v>48</v>
      </c>
      <c r="E18" s="73"/>
      <c r="F18" s="56">
        <v>10</v>
      </c>
      <c r="G18" s="44">
        <v>50</v>
      </c>
    </row>
    <row r="19" spans="1:8" ht="18.600000000000001" thickBot="1" x14ac:dyDescent="0.35">
      <c r="A19" s="74" t="s">
        <v>66</v>
      </c>
      <c r="B19" s="52"/>
      <c r="C19" s="72"/>
      <c r="D19" s="75" t="s">
        <v>48</v>
      </c>
      <c r="E19" s="60"/>
      <c r="F19" s="76">
        <v>11</v>
      </c>
      <c r="G19" s="44">
        <v>11</v>
      </c>
      <c r="H19" s="44">
        <f>+G19+G18+G17+G16</f>
        <v>111</v>
      </c>
    </row>
    <row r="20" spans="1:8" x14ac:dyDescent="0.3">
      <c r="A20" s="45" t="s">
        <v>67</v>
      </c>
      <c r="B20" s="52">
        <v>264</v>
      </c>
      <c r="C20" s="77"/>
      <c r="D20" s="78" t="s">
        <v>64</v>
      </c>
      <c r="E20" s="49" t="s">
        <v>68</v>
      </c>
      <c r="F20" s="50">
        <v>10</v>
      </c>
    </row>
    <row r="21" spans="1:8" x14ac:dyDescent="0.3">
      <c r="A21" s="51" t="s">
        <v>69</v>
      </c>
      <c r="B21" s="52"/>
      <c r="C21" s="77"/>
      <c r="D21" s="79" t="s">
        <v>48</v>
      </c>
      <c r="E21" s="55"/>
      <c r="F21" s="56">
        <v>10</v>
      </c>
      <c r="G21" s="44">
        <v>70</v>
      </c>
    </row>
    <row r="22" spans="1:8" x14ac:dyDescent="0.3">
      <c r="A22" s="51" t="s">
        <v>70</v>
      </c>
      <c r="B22" s="52"/>
      <c r="C22" s="77"/>
      <c r="D22" s="79" t="s">
        <v>48</v>
      </c>
      <c r="E22" s="55"/>
      <c r="F22" s="56">
        <v>6</v>
      </c>
    </row>
    <row r="23" spans="1:8" ht="18.600000000000001" thickBot="1" x14ac:dyDescent="0.35">
      <c r="A23" s="74" t="s">
        <v>71</v>
      </c>
      <c r="B23" s="52"/>
      <c r="C23" s="80"/>
      <c r="D23" s="81" t="s">
        <v>48</v>
      </c>
      <c r="E23" s="55"/>
      <c r="F23" s="76">
        <v>9</v>
      </c>
      <c r="H23" s="44">
        <f>+F23+F22+G21+F20</f>
        <v>95</v>
      </c>
    </row>
    <row r="24" spans="1:8" x14ac:dyDescent="0.3">
      <c r="A24" s="45" t="s">
        <v>72</v>
      </c>
      <c r="B24" s="52">
        <v>258</v>
      </c>
      <c r="C24" s="82">
        <v>67066</v>
      </c>
      <c r="D24" s="48" t="s">
        <v>73</v>
      </c>
      <c r="E24" s="49" t="s">
        <v>8</v>
      </c>
      <c r="F24" s="50">
        <v>4</v>
      </c>
      <c r="G24" s="44">
        <v>36</v>
      </c>
    </row>
    <row r="25" spans="1:8" x14ac:dyDescent="0.3">
      <c r="A25" s="51">
        <v>78</v>
      </c>
      <c r="B25" s="52"/>
      <c r="C25" s="83"/>
      <c r="D25" s="54" t="s">
        <v>73</v>
      </c>
      <c r="E25" s="55"/>
      <c r="F25" s="56">
        <v>3</v>
      </c>
    </row>
    <row r="26" spans="1:8" x14ac:dyDescent="0.3">
      <c r="A26" s="51">
        <v>79</v>
      </c>
      <c r="B26" s="52"/>
      <c r="C26" s="83"/>
      <c r="D26" s="54"/>
      <c r="E26" s="55"/>
      <c r="F26" s="56">
        <v>4</v>
      </c>
    </row>
    <row r="27" spans="1:8" ht="18.600000000000001" thickBot="1" x14ac:dyDescent="0.35">
      <c r="A27" s="61">
        <v>80</v>
      </c>
      <c r="B27" s="62"/>
      <c r="C27" s="84"/>
      <c r="D27" s="64"/>
      <c r="E27" s="65"/>
      <c r="F27" s="66">
        <v>2</v>
      </c>
      <c r="H27" s="44">
        <f>+F27+F26+F25+G24</f>
        <v>45</v>
      </c>
    </row>
    <row r="29" spans="1:8" x14ac:dyDescent="0.3">
      <c r="A29" s="85" t="s">
        <v>74</v>
      </c>
      <c r="B29" s="86" t="s">
        <v>32</v>
      </c>
    </row>
    <row r="30" spans="1:8" x14ac:dyDescent="0.3">
      <c r="A30" s="87" t="s">
        <v>75</v>
      </c>
      <c r="B30" s="86" t="s">
        <v>32</v>
      </c>
    </row>
    <row r="31" spans="1:8" x14ac:dyDescent="0.3">
      <c r="A31" s="85" t="s">
        <v>76</v>
      </c>
      <c r="B31" s="86" t="s">
        <v>32</v>
      </c>
    </row>
    <row r="32" spans="1:8" x14ac:dyDescent="0.3">
      <c r="A32" s="85" t="s">
        <v>66</v>
      </c>
      <c r="B32" s="86" t="s">
        <v>32</v>
      </c>
    </row>
    <row r="33" spans="1:2" x14ac:dyDescent="0.3">
      <c r="A33" s="85" t="s">
        <v>77</v>
      </c>
      <c r="B33" s="86" t="s">
        <v>78</v>
      </c>
    </row>
    <row r="34" spans="1:2" x14ac:dyDescent="0.3">
      <c r="A34" s="85" t="s">
        <v>79</v>
      </c>
      <c r="B34" s="86" t="s">
        <v>32</v>
      </c>
    </row>
    <row r="35" spans="1:2" x14ac:dyDescent="0.3">
      <c r="A35" s="85" t="s">
        <v>80</v>
      </c>
      <c r="B35" s="86" t="s">
        <v>32</v>
      </c>
    </row>
  </sheetData>
  <mergeCells count="13">
    <mergeCell ref="B24:B27"/>
    <mergeCell ref="C24:C27"/>
    <mergeCell ref="E24:E27"/>
    <mergeCell ref="B2:B7"/>
    <mergeCell ref="C2:C15"/>
    <mergeCell ref="E2:E7"/>
    <mergeCell ref="B8:B15"/>
    <mergeCell ref="E8:E15"/>
    <mergeCell ref="B16:B19"/>
    <mergeCell ref="C16:C23"/>
    <mergeCell ref="E16:E19"/>
    <mergeCell ref="B20:B23"/>
    <mergeCell ref="E20:E23"/>
  </mergeCells>
  <pageMargins left="0.7" right="0.7" top="0.75" bottom="0.75" header="0.3" footer="0.3"/>
  <pageSetup paperSize="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AB62-5DAF-4E7C-82CF-D559D36DE5CD}">
  <dimension ref="A1:J27"/>
  <sheetViews>
    <sheetView workbookViewId="0">
      <selection activeCell="I6" sqref="I6"/>
    </sheetView>
  </sheetViews>
  <sheetFormatPr baseColWidth="10" defaultColWidth="9.109375" defaultRowHeight="18" x14ac:dyDescent="0.3"/>
  <cols>
    <col min="1" max="1" width="21" style="1" customWidth="1"/>
    <col min="2" max="3" width="15.6640625" style="2" customWidth="1"/>
    <col min="4" max="4" width="36.88671875" style="2" customWidth="1"/>
    <col min="5" max="6" width="15.6640625" style="2" customWidth="1"/>
    <col min="7" max="9" width="9.109375" style="2"/>
    <col min="10" max="10" width="9.6640625" style="2" bestFit="1" customWidth="1"/>
    <col min="11" max="16384" width="9.109375" style="2"/>
  </cols>
  <sheetData>
    <row r="1" spans="1:10" ht="18.600000000000001" thickBot="1" x14ac:dyDescent="0.35"/>
    <row r="2" spans="1:10" ht="18.600000000000001" thickBot="1" x14ac:dyDescent="0.35">
      <c r="A2" s="3" t="s">
        <v>0</v>
      </c>
      <c r="B2" s="4" t="s">
        <v>1</v>
      </c>
      <c r="C2" s="5" t="s">
        <v>2</v>
      </c>
      <c r="D2" s="6" t="s">
        <v>3</v>
      </c>
      <c r="E2" s="3" t="s">
        <v>4</v>
      </c>
      <c r="F2" s="7" t="s">
        <v>5</v>
      </c>
    </row>
    <row r="3" spans="1:10" x14ac:dyDescent="0.3">
      <c r="A3" s="8" t="s">
        <v>6</v>
      </c>
      <c r="B3" s="9">
        <v>265</v>
      </c>
      <c r="C3" s="10">
        <v>63024</v>
      </c>
      <c r="D3" s="11" t="s">
        <v>7</v>
      </c>
      <c r="E3" s="12" t="s">
        <v>8</v>
      </c>
      <c r="F3" s="13">
        <v>20</v>
      </c>
    </row>
    <row r="4" spans="1:10" ht="18.600000000000001" thickBot="1" x14ac:dyDescent="0.35">
      <c r="A4" s="14">
        <v>2</v>
      </c>
      <c r="B4" s="15"/>
      <c r="C4" s="16"/>
      <c r="D4" s="17" t="s">
        <v>9</v>
      </c>
      <c r="E4" s="18"/>
      <c r="F4" s="19">
        <v>31</v>
      </c>
      <c r="G4" s="2">
        <f>+F4+F3</f>
        <v>51</v>
      </c>
      <c r="J4" s="20"/>
    </row>
    <row r="5" spans="1:10" x14ac:dyDescent="0.3">
      <c r="A5" s="14">
        <v>3</v>
      </c>
      <c r="B5" s="15"/>
      <c r="C5" s="16"/>
      <c r="D5" s="11" t="s">
        <v>10</v>
      </c>
      <c r="E5" s="12" t="s">
        <v>11</v>
      </c>
      <c r="F5" s="13">
        <v>25</v>
      </c>
    </row>
    <row r="6" spans="1:10" ht="18.600000000000001" thickBot="1" x14ac:dyDescent="0.35">
      <c r="A6" s="14">
        <v>4</v>
      </c>
      <c r="B6" s="15"/>
      <c r="C6" s="16"/>
      <c r="D6" s="17" t="s">
        <v>12</v>
      </c>
      <c r="E6" s="18"/>
      <c r="F6" s="19">
        <v>25</v>
      </c>
      <c r="G6" s="2">
        <f>+F6+F5</f>
        <v>50</v>
      </c>
    </row>
    <row r="7" spans="1:10" x14ac:dyDescent="0.3">
      <c r="A7" s="14" t="s">
        <v>13</v>
      </c>
      <c r="B7" s="15"/>
      <c r="C7" s="10">
        <v>67080</v>
      </c>
      <c r="D7" s="21" t="s">
        <v>14</v>
      </c>
      <c r="E7" s="12" t="s">
        <v>8</v>
      </c>
      <c r="F7" s="13">
        <v>10</v>
      </c>
      <c r="G7" s="2">
        <v>50</v>
      </c>
    </row>
    <row r="8" spans="1:10" x14ac:dyDescent="0.3">
      <c r="A8" s="14" t="s">
        <v>15</v>
      </c>
      <c r="B8" s="15"/>
      <c r="C8" s="16"/>
      <c r="D8" s="22" t="s">
        <v>14</v>
      </c>
      <c r="E8" s="23"/>
      <c r="F8" s="24">
        <v>8</v>
      </c>
      <c r="G8" s="2">
        <v>8</v>
      </c>
    </row>
    <row r="9" spans="1:10" x14ac:dyDescent="0.3">
      <c r="A9" s="14" t="s">
        <v>16</v>
      </c>
      <c r="B9" s="15"/>
      <c r="C9" s="16"/>
      <c r="D9" s="22"/>
      <c r="E9" s="23"/>
      <c r="F9" s="24">
        <v>10</v>
      </c>
      <c r="G9" s="2">
        <v>20</v>
      </c>
    </row>
    <row r="10" spans="1:10" ht="18.600000000000001" thickBot="1" x14ac:dyDescent="0.35">
      <c r="A10" s="14">
        <v>13</v>
      </c>
      <c r="B10" s="15"/>
      <c r="C10" s="16"/>
      <c r="D10" s="25"/>
      <c r="E10" s="18"/>
      <c r="F10" s="19">
        <v>3</v>
      </c>
      <c r="G10" s="2">
        <v>3</v>
      </c>
    </row>
    <row r="11" spans="1:10" x14ac:dyDescent="0.3">
      <c r="A11" s="14" t="s">
        <v>17</v>
      </c>
      <c r="B11" s="15"/>
      <c r="C11" s="16"/>
      <c r="D11" s="26" t="s">
        <v>18</v>
      </c>
      <c r="E11" s="23" t="s">
        <v>19</v>
      </c>
      <c r="F11" s="27">
        <v>10</v>
      </c>
      <c r="G11" s="2">
        <v>110</v>
      </c>
    </row>
    <row r="12" spans="1:10" ht="18.600000000000001" thickBot="1" x14ac:dyDescent="0.35">
      <c r="A12" s="14">
        <v>25</v>
      </c>
      <c r="B12" s="15"/>
      <c r="C12" s="28"/>
      <c r="D12" s="25" t="s">
        <v>20</v>
      </c>
      <c r="E12" s="23"/>
      <c r="F12" s="24">
        <v>5</v>
      </c>
      <c r="G12" s="2">
        <v>5</v>
      </c>
      <c r="H12" s="2">
        <f>+G12+G11+G10+G9+G8+G7</f>
        <v>196</v>
      </c>
    </row>
    <row r="13" spans="1:10" x14ac:dyDescent="0.3">
      <c r="A13" s="14" t="s">
        <v>21</v>
      </c>
      <c r="B13" s="15"/>
      <c r="C13" s="16">
        <v>67066</v>
      </c>
      <c r="D13" s="26" t="s">
        <v>22</v>
      </c>
      <c r="E13" s="23"/>
      <c r="F13" s="24">
        <v>4</v>
      </c>
      <c r="G13" s="2">
        <v>20</v>
      </c>
    </row>
    <row r="14" spans="1:10" x14ac:dyDescent="0.3">
      <c r="A14" s="14">
        <v>31</v>
      </c>
      <c r="B14" s="15"/>
      <c r="C14" s="16"/>
      <c r="D14" s="22" t="s">
        <v>22</v>
      </c>
      <c r="E14" s="23"/>
      <c r="F14" s="24">
        <v>3</v>
      </c>
      <c r="G14" s="2">
        <v>3</v>
      </c>
    </row>
    <row r="15" spans="1:10" ht="18.600000000000001" thickBot="1" x14ac:dyDescent="0.35">
      <c r="A15" s="29" t="s">
        <v>23</v>
      </c>
      <c r="B15" s="15"/>
      <c r="C15" s="28"/>
      <c r="D15" s="25" t="s">
        <v>24</v>
      </c>
      <c r="E15" s="18"/>
      <c r="F15" s="19">
        <v>4</v>
      </c>
      <c r="G15" s="2">
        <v>28</v>
      </c>
      <c r="H15" s="2">
        <f>+G15+G14+G13</f>
        <v>51</v>
      </c>
    </row>
    <row r="16" spans="1:10" x14ac:dyDescent="0.3">
      <c r="A16" s="8" t="s">
        <v>25</v>
      </c>
      <c r="B16" s="30">
        <v>266</v>
      </c>
      <c r="C16" s="31">
        <v>67080</v>
      </c>
      <c r="D16" s="21" t="s">
        <v>26</v>
      </c>
      <c r="E16" s="32" t="s">
        <v>11</v>
      </c>
      <c r="F16" s="13">
        <v>10</v>
      </c>
      <c r="G16" s="2">
        <v>30</v>
      </c>
    </row>
    <row r="17" spans="1:8" x14ac:dyDescent="0.3">
      <c r="A17" s="14">
        <v>42</v>
      </c>
      <c r="B17" s="33"/>
      <c r="C17" s="34"/>
      <c r="D17" s="22" t="s">
        <v>26</v>
      </c>
      <c r="E17" s="35"/>
      <c r="F17" s="24">
        <v>5</v>
      </c>
    </row>
    <row r="18" spans="1:8" x14ac:dyDescent="0.3">
      <c r="A18" s="14" t="s">
        <v>27</v>
      </c>
      <c r="B18" s="33"/>
      <c r="C18" s="34"/>
      <c r="D18" s="22" t="s">
        <v>28</v>
      </c>
      <c r="E18" s="35"/>
      <c r="F18" s="24">
        <v>10</v>
      </c>
      <c r="G18" s="2">
        <v>70</v>
      </c>
    </row>
    <row r="19" spans="1:8" ht="18.600000000000001" thickBot="1" x14ac:dyDescent="0.35">
      <c r="A19" s="36">
        <v>50</v>
      </c>
      <c r="B19" s="37"/>
      <c r="C19" s="38"/>
      <c r="D19" s="25" t="s">
        <v>28</v>
      </c>
      <c r="E19" s="39"/>
      <c r="F19" s="19">
        <v>8</v>
      </c>
      <c r="H19" s="2">
        <f>+G16+F17+G18+F19</f>
        <v>113</v>
      </c>
    </row>
    <row r="21" spans="1:8" ht="40.5" customHeight="1" x14ac:dyDescent="0.3">
      <c r="A21" s="40" t="s">
        <v>29</v>
      </c>
      <c r="B21" s="41" t="s">
        <v>30</v>
      </c>
      <c r="C21" s="41"/>
      <c r="D21" s="41"/>
    </row>
    <row r="22" spans="1:8" ht="40.5" customHeight="1" x14ac:dyDescent="0.3">
      <c r="A22" s="40" t="s">
        <v>31</v>
      </c>
      <c r="B22" s="41" t="s">
        <v>32</v>
      </c>
      <c r="C22" s="41"/>
      <c r="D22" s="41"/>
    </row>
    <row r="23" spans="1:8" ht="40.5" customHeight="1" x14ac:dyDescent="0.3">
      <c r="A23" s="40">
        <v>25</v>
      </c>
      <c r="B23" s="42" t="s">
        <v>33</v>
      </c>
      <c r="C23" s="42"/>
      <c r="D23" s="42"/>
    </row>
    <row r="24" spans="1:8" ht="40.5" customHeight="1" x14ac:dyDescent="0.3">
      <c r="A24" s="40" t="s">
        <v>34</v>
      </c>
      <c r="B24" s="41" t="s">
        <v>32</v>
      </c>
      <c r="C24" s="41"/>
      <c r="D24" s="41"/>
    </row>
    <row r="25" spans="1:8" ht="40.5" customHeight="1" x14ac:dyDescent="0.3">
      <c r="A25" s="40">
        <v>31</v>
      </c>
      <c r="B25" s="42" t="s">
        <v>35</v>
      </c>
      <c r="C25" s="42"/>
      <c r="D25" s="42"/>
    </row>
    <row r="26" spans="1:8" ht="40.5" customHeight="1" x14ac:dyDescent="0.3">
      <c r="A26" s="40">
        <v>38</v>
      </c>
      <c r="B26" s="42" t="s">
        <v>36</v>
      </c>
      <c r="C26" s="42"/>
      <c r="D26" s="42"/>
    </row>
    <row r="27" spans="1:8" ht="40.5" customHeight="1" x14ac:dyDescent="0.3">
      <c r="A27" s="40">
        <v>50</v>
      </c>
      <c r="B27" s="42" t="s">
        <v>37</v>
      </c>
      <c r="C27" s="42"/>
      <c r="D27" s="42"/>
    </row>
  </sheetData>
  <mergeCells count="14">
    <mergeCell ref="B16:B19"/>
    <mergeCell ref="C16:C19"/>
    <mergeCell ref="E16:E19"/>
    <mergeCell ref="B21:D21"/>
    <mergeCell ref="B22:D22"/>
    <mergeCell ref="B24:D24"/>
    <mergeCell ref="B3:B15"/>
    <mergeCell ref="C3:C6"/>
    <mergeCell ref="E3:E4"/>
    <mergeCell ref="E5:E6"/>
    <mergeCell ref="C7:C12"/>
    <mergeCell ref="E7:E10"/>
    <mergeCell ref="E11:E15"/>
    <mergeCell ref="C13:C15"/>
  </mergeCells>
  <pageMargins left="0.7" right="0.7" top="0.75" bottom="0.75" header="0.3" footer="0.3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11-07</vt:lpstr>
      <vt:lpstr>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Llavina Pamias</dc:creator>
  <cp:lastModifiedBy>Jordi Llavina Pamias</cp:lastModifiedBy>
  <dcterms:created xsi:type="dcterms:W3CDTF">2026-10-22T19:22:12Z</dcterms:created>
  <dcterms:modified xsi:type="dcterms:W3CDTF">2026-10-22T19:23:03Z</dcterms:modified>
</cp:coreProperties>
</file>