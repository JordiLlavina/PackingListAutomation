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0" yWindow="50" windowWidth="18860" windowHeight="7050" activeTab="2"/>
  </bookViews>
  <sheets>
    <sheet name="Facture" sheetId="3" r:id="rId1"/>
    <sheet name="LISTE DE COL" sheetId="2" r:id="rId2"/>
    <sheet name="DECHARGES" sheetId="1" r:id="rId3"/>
    <sheet name="Feuil4" sheetId="4" r:id="rId4"/>
  </sheets>
  <calcPr calcId="124519"/>
</workbook>
</file>

<file path=xl/calcChain.xml><?xml version="1.0" encoding="utf-8"?>
<calcChain xmlns="http://schemas.openxmlformats.org/spreadsheetml/2006/main">
  <c r="G20" i="3"/>
  <c r="G21"/>
  <c r="G22"/>
  <c r="G23"/>
  <c r="G24"/>
  <c r="G25"/>
  <c r="G26"/>
  <c r="G27"/>
  <c r="E29"/>
  <c r="E41" i="2"/>
  <c r="G19" i="3" l="1"/>
  <c r="G29" s="1"/>
</calcChain>
</file>

<file path=xl/sharedStrings.xml><?xml version="1.0" encoding="utf-8"?>
<sst xmlns="http://schemas.openxmlformats.org/spreadsheetml/2006/main" count="249" uniqueCount="148">
  <si>
    <t>SWEET BAG SARL</t>
  </si>
  <si>
    <r>
      <rPr>
        <sz val="8"/>
        <color rgb="FF000000"/>
        <rFont val="Calisto MT"/>
        <family val="3"/>
        <charset val="134"/>
      </rPr>
      <t>Lot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N</t>
    </r>
    <r>
      <rPr>
        <sz val="8"/>
        <color rgb="FF000000"/>
        <rFont val="Calisto MT"/>
        <family val="3"/>
        <charset val="134"/>
      </rPr>
      <t>°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230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BIS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An-namae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Bensouda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-FES</t>
    </r>
  </si>
  <si>
    <t>REFERENCE</t>
  </si>
  <si>
    <r>
      <rPr>
        <sz val="8"/>
        <color rgb="FF000000"/>
        <rFont val="Calisto MT"/>
        <family val="3"/>
        <charset val="134"/>
      </rPr>
      <t>Fes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-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Maroc</t>
    </r>
  </si>
  <si>
    <r>
      <rPr>
        <sz val="8"/>
        <color rgb="FF000000"/>
        <rFont val="Calisto MT"/>
        <family val="3"/>
        <charset val="134"/>
      </rPr>
      <t>Tel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: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+212661354099</t>
    </r>
  </si>
  <si>
    <r>
      <rPr>
        <sz val="8"/>
        <color rgb="FF000000"/>
        <rFont val="Calisto MT"/>
        <family val="3"/>
        <charset val="134"/>
      </rPr>
      <t>Mail</t>
    </r>
    <r>
      <rPr>
        <sz val="8"/>
        <color theme="1"/>
        <rFont val="Calibri"/>
        <family val="2"/>
        <charset val="134"/>
        <scheme val="minor"/>
      </rPr>
      <t xml:space="preserve"> </t>
    </r>
    <r>
      <rPr>
        <sz val="8"/>
        <color rgb="FF000000"/>
        <rFont val="Calisto MT"/>
        <family val="3"/>
        <charset val="134"/>
      </rPr>
      <t>:sweetbagsarl@gmail.com</t>
    </r>
  </si>
  <si>
    <t>RIB:127 270 21211 1700492000739</t>
  </si>
  <si>
    <t>Swift:BCP OMAMC</t>
  </si>
  <si>
    <t>FACTURE n°</t>
  </si>
  <si>
    <t xml:space="preserve">Date: </t>
  </si>
  <si>
    <t xml:space="preserve">EORI N° </t>
  </si>
  <si>
    <t>ESB 67565291</t>
  </si>
  <si>
    <t>Incoterm; EXW</t>
  </si>
  <si>
    <t>N° Envoi</t>
  </si>
  <si>
    <t>Désignation</t>
  </si>
  <si>
    <t>P.U</t>
  </si>
  <si>
    <t>Total Eur</t>
  </si>
  <si>
    <r>
      <rPr>
        <b/>
        <sz val="8"/>
        <color rgb="FF000000"/>
        <rFont val="Calisto MT"/>
        <family val="3"/>
        <charset val="134"/>
      </rPr>
      <t>Patente</t>
    </r>
    <r>
      <rPr>
        <b/>
        <sz val="8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FF000000"/>
        <rFont val="Calisto MT"/>
        <family val="3"/>
        <charset val="134"/>
      </rPr>
      <t>:</t>
    </r>
    <r>
      <rPr>
        <b/>
        <sz val="8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FF000000"/>
        <rFont val="Calisto MT"/>
        <family val="3"/>
        <charset val="134"/>
      </rPr>
      <t>13428742-</t>
    </r>
    <r>
      <rPr>
        <b/>
        <sz val="8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FF000000"/>
        <rFont val="Calisto MT"/>
        <family val="3"/>
        <charset val="134"/>
      </rPr>
      <t>RC</t>
    </r>
    <r>
      <rPr>
        <b/>
        <sz val="8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FF000000"/>
        <rFont val="Calisto MT"/>
        <family val="3"/>
        <charset val="134"/>
      </rPr>
      <t>:</t>
    </r>
    <r>
      <rPr>
        <b/>
        <sz val="8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FF000000"/>
        <rFont val="Calisto MT"/>
        <family val="3"/>
        <charset val="134"/>
      </rPr>
      <t>33737</t>
    </r>
    <r>
      <rPr>
        <b/>
        <sz val="8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FF000000"/>
        <rFont val="Calisto MT"/>
        <family val="3"/>
        <charset val="134"/>
      </rPr>
      <t>-CNSS</t>
    </r>
    <r>
      <rPr>
        <b/>
        <sz val="8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FF000000"/>
        <rFont val="Calisto MT"/>
        <family val="3"/>
        <charset val="134"/>
      </rPr>
      <t>:8424806</t>
    </r>
    <r>
      <rPr>
        <b/>
        <sz val="8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FF000000"/>
        <rFont val="Calisto MT"/>
        <family val="3"/>
        <charset val="134"/>
      </rPr>
      <t>-</t>
    </r>
    <r>
      <rPr>
        <b/>
        <sz val="8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FF000000"/>
        <rFont val="Calisto MT"/>
        <family val="3"/>
        <charset val="134"/>
      </rPr>
      <t>IF</t>
    </r>
    <r>
      <rPr>
        <b/>
        <sz val="8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FF000000"/>
        <rFont val="Calisto MT"/>
        <family val="3"/>
        <charset val="134"/>
      </rPr>
      <t>:</t>
    </r>
    <r>
      <rPr>
        <b/>
        <sz val="8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FF000000"/>
        <rFont val="Calisto MT"/>
        <family val="3"/>
        <charset val="134"/>
      </rPr>
      <t>40206794</t>
    </r>
    <r>
      <rPr>
        <b/>
        <sz val="8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FF000000"/>
        <rFont val="Calisto MT"/>
        <family val="3"/>
        <charset val="134"/>
      </rPr>
      <t>_</t>
    </r>
    <r>
      <rPr>
        <b/>
        <sz val="8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FF000000"/>
        <rFont val="Calisto MT"/>
        <family val="3"/>
        <charset val="134"/>
      </rPr>
      <t>ICE:000</t>
    </r>
    <r>
      <rPr>
        <b/>
        <sz val="8"/>
        <color theme="1"/>
        <rFont val="Calibri"/>
        <family val="2"/>
        <charset val="134"/>
        <scheme val="minor"/>
      </rPr>
      <t xml:space="preserve"> </t>
    </r>
    <r>
      <rPr>
        <b/>
        <sz val="8"/>
        <color rgb="FF000000"/>
        <rFont val="Calisto MT"/>
        <family val="3"/>
        <charset val="134"/>
      </rPr>
      <t>053622000028</t>
    </r>
  </si>
  <si>
    <t xml:space="preserve"> PUNTOTRES BAGS &amp; BELTS  S.L</t>
  </si>
  <si>
    <t xml:space="preserve"> C / INDUSTRIA 585</t>
  </si>
  <si>
    <t xml:space="preserve"> 08918 BADALONA, BARCELONA</t>
  </si>
  <si>
    <t xml:space="preserve"> ESPANA</t>
  </si>
  <si>
    <t xml:space="preserve">                   Désignation:</t>
  </si>
  <si>
    <t xml:space="preserve"> </t>
  </si>
  <si>
    <t>PUNTOTRES BAGS &amp; BELTS  S.L</t>
  </si>
  <si>
    <t>COLISAGE:</t>
  </si>
  <si>
    <t>DATE :</t>
  </si>
  <si>
    <t>ENVOI</t>
  </si>
  <si>
    <t>DESIGNATION</t>
  </si>
  <si>
    <t>Qtite/colis</t>
  </si>
  <si>
    <t xml:space="preserve">N° DE COLIS </t>
  </si>
  <si>
    <t>Destination de marchandise: PUNTOTRES</t>
  </si>
  <si>
    <t>Fiche de décharge</t>
  </si>
  <si>
    <t xml:space="preserve">Envio </t>
  </si>
  <si>
    <t>regime</t>
  </si>
  <si>
    <t>bureau</t>
  </si>
  <si>
    <t>dum</t>
  </si>
  <si>
    <t>Date</t>
  </si>
  <si>
    <t>nomenclature</t>
  </si>
  <si>
    <t>designation</t>
  </si>
  <si>
    <t>Brut</t>
  </si>
  <si>
    <t>U.M</t>
  </si>
  <si>
    <t>Net</t>
  </si>
  <si>
    <t>Poids B</t>
  </si>
  <si>
    <t>Poids N</t>
  </si>
  <si>
    <t>valeur</t>
  </si>
  <si>
    <t>NB</t>
  </si>
  <si>
    <t>Poids Brut Total KG</t>
  </si>
  <si>
    <t>Poids Net Total  KG</t>
  </si>
  <si>
    <t>Qte</t>
  </si>
  <si>
    <t>ETIQUETTES CARTON</t>
  </si>
  <si>
    <t>3296 H</t>
  </si>
  <si>
    <t>ULL163AL052</t>
  </si>
  <si>
    <t>SACS EN TISSU</t>
  </si>
  <si>
    <t>SAC A MAIN PREDECOUPE</t>
  </si>
  <si>
    <t>QTE T</t>
  </si>
  <si>
    <t>ENVIO 136</t>
  </si>
  <si>
    <t>SAC MARRON</t>
  </si>
  <si>
    <t>SAC MARRON PA</t>
  </si>
  <si>
    <t>76</t>
  </si>
  <si>
    <t>FERMETURES</t>
  </si>
  <si>
    <t>N</t>
  </si>
  <si>
    <t>336/26</t>
  </si>
  <si>
    <t>1-69</t>
  </si>
  <si>
    <t>70</t>
  </si>
  <si>
    <t>F63023</t>
  </si>
  <si>
    <t>SAC NOIR WSALES</t>
  </si>
  <si>
    <t>71-75</t>
  </si>
  <si>
    <t>SAC NOIR USA</t>
  </si>
  <si>
    <t>77</t>
  </si>
  <si>
    <t>SAC LAW GRIS USA</t>
  </si>
  <si>
    <t>SAC LAW GRIS WSALES</t>
  </si>
  <si>
    <t>78</t>
  </si>
  <si>
    <t>79</t>
  </si>
  <si>
    <t>80</t>
  </si>
  <si>
    <t>81</t>
  </si>
  <si>
    <t>SAC  LAW GRIS RETAIL</t>
  </si>
  <si>
    <t>82-84</t>
  </si>
  <si>
    <t>85-88</t>
  </si>
  <si>
    <t>89</t>
  </si>
  <si>
    <t>90-93</t>
  </si>
  <si>
    <t>94</t>
  </si>
  <si>
    <t>95-96</t>
  </si>
  <si>
    <t>97-102</t>
  </si>
  <si>
    <t>103-110</t>
  </si>
  <si>
    <t>111-113</t>
  </si>
  <si>
    <t>114</t>
  </si>
  <si>
    <t>115</t>
  </si>
  <si>
    <t>116</t>
  </si>
  <si>
    <t>121-124</t>
  </si>
  <si>
    <t>125-126</t>
  </si>
  <si>
    <t>127</t>
  </si>
  <si>
    <t>128-134</t>
  </si>
  <si>
    <t>135</t>
  </si>
  <si>
    <t>SAC  GAE VINO WSALES</t>
  </si>
  <si>
    <t>SAC GAE VINO  WSALES</t>
  </si>
  <si>
    <t>SAC GAE VINO  JAPAN</t>
  </si>
  <si>
    <t>SAC GAE VINO RETAIL</t>
  </si>
  <si>
    <t>F67043</t>
  </si>
  <si>
    <t>SAC LAW GRIS KOREA</t>
  </si>
  <si>
    <t>SAC CEREZA JA</t>
  </si>
  <si>
    <t>SAC CEREZAWSALES</t>
  </si>
  <si>
    <t>SAC CEREZA RETAIL</t>
  </si>
  <si>
    <t>SAC CEREZA USA</t>
  </si>
  <si>
    <t>SAC LIQUEN USA</t>
  </si>
  <si>
    <t>SAC LIQUEN WSALES</t>
  </si>
  <si>
    <t>SAC LIQUEN RETAIL</t>
  </si>
  <si>
    <t>SAC TABAC WSALES</t>
  </si>
  <si>
    <t>SAC TABAC RETAIL</t>
  </si>
  <si>
    <t>SAC NOIR JAPON</t>
  </si>
  <si>
    <t>Facture 336/26</t>
  </si>
  <si>
    <t>Date export : 11/07/2026</t>
  </si>
  <si>
    <t>560 M</t>
  </si>
  <si>
    <t>BOITE EN CARTON</t>
  </si>
  <si>
    <t>436 C</t>
  </si>
  <si>
    <t>5803 H</t>
  </si>
  <si>
    <t>ACCESSOIRES METAL</t>
  </si>
  <si>
    <t>RUBAN ADHESIVE</t>
  </si>
  <si>
    <t>FERMETURE</t>
  </si>
  <si>
    <t>FIL</t>
  </si>
  <si>
    <t>ENCRE</t>
  </si>
  <si>
    <t>L</t>
  </si>
  <si>
    <t>CUIR</t>
  </si>
  <si>
    <t>P2</t>
  </si>
  <si>
    <t>OUVRAGES EN CUIR</t>
  </si>
  <si>
    <t>M</t>
  </si>
  <si>
    <t>MICROFIBRA</t>
  </si>
  <si>
    <t>ETIQUETTE CARTON</t>
  </si>
  <si>
    <t>ETIQUETTE TISSE</t>
  </si>
  <si>
    <t>PAPIERS</t>
  </si>
  <si>
    <t>SAC EN TISSU</t>
  </si>
  <si>
    <t>SCOTCH D EMBALLAGE</t>
  </si>
  <si>
    <t>6101 G</t>
  </si>
  <si>
    <t>5136 H</t>
  </si>
  <si>
    <t xml:space="preserve">SAC NOIR </t>
  </si>
  <si>
    <t>SAC GRIS</t>
  </si>
  <si>
    <t xml:space="preserve">SAC GAE VINO  </t>
  </si>
  <si>
    <t>SAC LAW GRIS</t>
  </si>
  <si>
    <t xml:space="preserve">SAC CEREZA </t>
  </si>
  <si>
    <t xml:space="preserve">SAC LIQUEN </t>
  </si>
  <si>
    <t xml:space="preserve">SAC TABAC </t>
  </si>
  <si>
    <t>117-120</t>
  </si>
  <si>
    <t>ENVIO 134</t>
  </si>
  <si>
    <t>Envio140</t>
  </si>
  <si>
    <t>Main d'oeuvre pour la confection de 1033 PCES</t>
  </si>
  <si>
    <t>Valeur Matieres premières: 25412,46 Eur</t>
  </si>
  <si>
    <t>Le poids des sachets plastique est inclus de 8,264kg</t>
  </si>
  <si>
    <t>Soit : 135 Colis</t>
  </si>
</sst>
</file>

<file path=xl/styles.xml><?xml version="1.0" encoding="utf-8"?>
<styleSheet xmlns="http://schemas.openxmlformats.org/spreadsheetml/2006/main">
  <numFmts count="1">
    <numFmt numFmtId="164" formatCode="#,##0.00\ &quot;€&quot;"/>
  </numFmts>
  <fonts count="3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3"/>
      <charset val="134"/>
    </font>
    <font>
      <sz val="8"/>
      <color rgb="FF000000"/>
      <name val="Calisto MT"/>
      <family val="3"/>
      <charset val="134"/>
    </font>
    <font>
      <sz val="8"/>
      <color theme="1"/>
      <name val="Calibri"/>
      <family val="2"/>
      <charset val="134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name val="Calisto MT"/>
      <family val="3"/>
      <charset val="134"/>
    </font>
    <font>
      <sz val="8"/>
      <color rgb="FF000000"/>
      <name val="Calibri"/>
      <family val="3"/>
      <charset val="134"/>
    </font>
    <font>
      <sz val="9"/>
      <color rgb="FF000000"/>
      <name val="Calibri"/>
      <family val="2"/>
    </font>
    <font>
      <b/>
      <sz val="15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5"/>
      <name val="Calisto MT"/>
      <family val="3"/>
      <charset val="134"/>
    </font>
    <font>
      <b/>
      <sz val="20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i/>
      <u/>
      <sz val="11"/>
      <color theme="8" tint="-0.24997711111789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Arial"/>
      <family val="2"/>
    </font>
    <font>
      <b/>
      <sz val="8"/>
      <color rgb="FF000000"/>
      <name val="Calibri"/>
      <family val="3"/>
      <charset val="134"/>
    </font>
    <font>
      <b/>
      <sz val="8"/>
      <color rgb="FF000000"/>
      <name val="Calisto MT"/>
      <family val="3"/>
      <charset val="134"/>
    </font>
    <font>
      <b/>
      <sz val="8"/>
      <color theme="1"/>
      <name val="Calibri"/>
      <family val="2"/>
      <charset val="134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175">
    <xf numFmtId="0" fontId="0" fillId="0" borderId="0" xfId="0"/>
    <xf numFmtId="0" fontId="2" fillId="0" borderId="0" xfId="0" applyFont="1" applyFill="1"/>
    <xf numFmtId="0" fontId="12" fillId="0" borderId="0" xfId="0" applyFont="1" applyFill="1"/>
    <xf numFmtId="0" fontId="13" fillId="0" borderId="0" xfId="1" applyFont="1" applyFill="1" applyBorder="1" applyAlignment="1">
      <alignment horizontal="left" vertical="top"/>
    </xf>
    <xf numFmtId="0" fontId="0" fillId="0" borderId="0" xfId="0" applyFill="1"/>
    <xf numFmtId="0" fontId="14" fillId="0" borderId="0" xfId="1" applyFont="1" applyFill="1" applyBorder="1" applyAlignment="1">
      <alignment horizontal="left" vertical="top"/>
    </xf>
    <xf numFmtId="0" fontId="7" fillId="0" borderId="0" xfId="1" applyFont="1" applyFill="1" applyBorder="1" applyAlignment="1">
      <alignment horizontal="left" vertical="top"/>
    </xf>
    <xf numFmtId="0" fontId="14" fillId="0" borderId="0" xfId="1" applyFont="1" applyFill="1" applyBorder="1" applyAlignment="1">
      <alignment horizontal="left" vertical="top" readingOrder="1"/>
    </xf>
    <xf numFmtId="0" fontId="12" fillId="0" borderId="0" xfId="0" applyFont="1" applyFill="1" applyAlignment="1">
      <alignment readingOrder="1"/>
    </xf>
    <xf numFmtId="0" fontId="15" fillId="0" borderId="0" xfId="1" applyFont="1" applyFill="1" applyBorder="1" applyAlignment="1">
      <alignment horizontal="left" vertical="center"/>
    </xf>
    <xf numFmtId="0" fontId="16" fillId="0" borderId="0" xfId="0" applyFont="1" applyFill="1"/>
    <xf numFmtId="0" fontId="17" fillId="0" borderId="0" xfId="0" applyFont="1" applyFill="1" applyAlignment="1">
      <alignment horizontal="left"/>
    </xf>
    <xf numFmtId="0" fontId="19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/>
    </xf>
    <xf numFmtId="0" fontId="1" fillId="0" borderId="0" xfId="0" applyFont="1" applyFill="1"/>
    <xf numFmtId="0" fontId="0" fillId="0" borderId="0" xfId="0" applyFill="1" applyBorder="1"/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right"/>
    </xf>
    <xf numFmtId="0" fontId="6" fillId="0" borderId="0" xfId="0" applyFont="1" applyFill="1" applyAlignment="1">
      <alignment vertical="center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14" fontId="10" fillId="0" borderId="2" xfId="0" applyNumberFormat="1" applyFont="1" applyFill="1" applyBorder="1" applyAlignment="1">
      <alignment vertical="top"/>
    </xf>
    <xf numFmtId="14" fontId="10" fillId="0" borderId="4" xfId="0" applyNumberFormat="1" applyFont="1" applyFill="1" applyBorder="1" applyAlignment="1">
      <alignment vertical="top"/>
    </xf>
    <xf numFmtId="0" fontId="23" fillId="0" borderId="0" xfId="1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24" fillId="0" borderId="0" xfId="0" applyFont="1" applyFill="1" applyBorder="1" applyAlignment="1">
      <alignment vertical="center" shrinkToFit="1"/>
    </xf>
    <xf numFmtId="0" fontId="25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shrinkToFit="1"/>
    </xf>
    <xf numFmtId="0" fontId="26" fillId="0" borderId="0" xfId="0" applyFont="1" applyFill="1" applyBorder="1" applyAlignment="1">
      <alignment horizontal="center" vertical="top"/>
    </xf>
    <xf numFmtId="14" fontId="1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center" vertical="top"/>
    </xf>
    <xf numFmtId="2" fontId="4" fillId="0" borderId="0" xfId="0" applyNumberFormat="1" applyFont="1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164" fontId="6" fillId="0" borderId="20" xfId="0" applyNumberFormat="1" applyFont="1" applyFill="1" applyBorder="1" applyAlignment="1">
      <alignment vertical="center"/>
    </xf>
    <xf numFmtId="4" fontId="34" fillId="0" borderId="0" xfId="0" applyNumberFormat="1" applyFont="1" applyFill="1" applyAlignment="1">
      <alignment horizontal="center"/>
    </xf>
    <xf numFmtId="0" fontId="35" fillId="0" borderId="0" xfId="1" applyFont="1" applyFill="1" applyBorder="1" applyAlignment="1">
      <alignment horizontal="left" vertical="top"/>
    </xf>
    <xf numFmtId="0" fontId="5" fillId="0" borderId="0" xfId="1" applyFill="1" applyAlignment="1">
      <alignment vertical="top"/>
    </xf>
    <xf numFmtId="0" fontId="5" fillId="0" borderId="0" xfId="1" applyFill="1" applyAlignment="1">
      <alignment horizontal="center" vertical="top"/>
    </xf>
    <xf numFmtId="0" fontId="1" fillId="0" borderId="0" xfId="0" applyFont="1" applyBorder="1"/>
    <xf numFmtId="0" fontId="3" fillId="0" borderId="0" xfId="0" applyFont="1" applyFill="1" applyBorder="1" applyAlignment="1">
      <alignment horizontal="left" vertical="top"/>
    </xf>
    <xf numFmtId="14" fontId="1" fillId="0" borderId="0" xfId="0" applyNumberFormat="1" applyFont="1" applyFill="1" applyBorder="1" applyAlignment="1">
      <alignment horizontal="left" vertical="top"/>
    </xf>
    <xf numFmtId="0" fontId="22" fillId="0" borderId="0" xfId="0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6" fillId="0" borderId="0" xfId="0" applyFont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Fill="1" applyBorder="1" applyAlignment="1">
      <alignment vertical="center"/>
    </xf>
    <xf numFmtId="2" fontId="3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27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1" fillId="0" borderId="0" xfId="0" applyFont="1" applyFill="1" applyAlignment="1">
      <alignment horizontal="center" vertical="center"/>
    </xf>
    <xf numFmtId="0" fontId="10" fillId="0" borderId="8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2" fontId="3" fillId="0" borderId="5" xfId="0" applyNumberFormat="1" applyFont="1" applyFill="1" applyBorder="1" applyAlignment="1">
      <alignment horizontal="center" vertical="center"/>
    </xf>
    <xf numFmtId="0" fontId="33" fillId="0" borderId="18" xfId="0" applyFont="1" applyFill="1" applyBorder="1" applyAlignment="1">
      <alignment horizontal="left" vertical="center"/>
    </xf>
    <xf numFmtId="0" fontId="6" fillId="0" borderId="19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6" fillId="0" borderId="0" xfId="0" applyFont="1" applyBorder="1"/>
    <xf numFmtId="0" fontId="3" fillId="0" borderId="4" xfId="0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center" vertical="center"/>
    </xf>
    <xf numFmtId="0" fontId="0" fillId="0" borderId="6" xfId="0" applyFill="1" applyBorder="1"/>
    <xf numFmtId="0" fontId="0" fillId="0" borderId="5" xfId="0" applyFill="1" applyBorder="1"/>
    <xf numFmtId="0" fontId="3" fillId="0" borderId="21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6" fillId="0" borderId="0" xfId="0" applyNumberFormat="1" applyFont="1"/>
    <xf numFmtId="0" fontId="1" fillId="0" borderId="1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164" fontId="12" fillId="0" borderId="0" xfId="0" applyNumberFormat="1" applyFont="1" applyFill="1"/>
    <xf numFmtId="49" fontId="3" fillId="0" borderId="26" xfId="0" applyNumberFormat="1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3" xfId="0" applyNumberFormat="1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24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9" fillId="0" borderId="0" xfId="0" applyFont="1" applyFill="1"/>
    <xf numFmtId="0" fontId="29" fillId="0" borderId="0" xfId="0" applyFont="1" applyFill="1" applyAlignment="1">
      <alignment horizontal="center"/>
    </xf>
    <xf numFmtId="0" fontId="30" fillId="0" borderId="0" xfId="0" applyFont="1" applyFill="1" applyAlignment="1">
      <alignment horizontal="center"/>
    </xf>
    <xf numFmtId="2" fontId="29" fillId="0" borderId="0" xfId="0" applyNumberFormat="1" applyFont="1" applyFill="1" applyAlignment="1">
      <alignment horizontal="center"/>
    </xf>
    <xf numFmtId="2" fontId="0" fillId="0" borderId="10" xfId="0" applyNumberFormat="1" applyFill="1" applyBorder="1" applyAlignment="1">
      <alignment horizontal="center"/>
    </xf>
    <xf numFmtId="0" fontId="0" fillId="0" borderId="11" xfId="0" applyFill="1" applyBorder="1"/>
    <xf numFmtId="0" fontId="0" fillId="0" borderId="11" xfId="0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2" fontId="0" fillId="0" borderId="13" xfId="0" applyNumberFormat="1" applyFill="1" applyBorder="1" applyAlignment="1">
      <alignment horizontal="center"/>
    </xf>
    <xf numFmtId="0" fontId="0" fillId="0" borderId="14" xfId="0" applyFill="1" applyBorder="1"/>
    <xf numFmtId="0" fontId="0" fillId="0" borderId="15" xfId="0" applyFill="1" applyBorder="1"/>
    <xf numFmtId="14" fontId="0" fillId="0" borderId="15" xfId="0" applyNumberFormat="1" applyFill="1" applyBorder="1"/>
    <xf numFmtId="0" fontId="0" fillId="0" borderId="15" xfId="0" applyFill="1" applyBorder="1" applyAlignment="1">
      <alignment horizontal="center"/>
    </xf>
    <xf numFmtId="0" fontId="21" fillId="0" borderId="15" xfId="0" applyFon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0" fontId="6" fillId="0" borderId="21" xfId="0" applyNumberFormat="1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0" fontId="38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0" fillId="0" borderId="22" xfId="0" applyFill="1" applyBorder="1"/>
    <xf numFmtId="0" fontId="0" fillId="0" borderId="23" xfId="0" applyFill="1" applyBorder="1"/>
    <xf numFmtId="14" fontId="0" fillId="0" borderId="23" xfId="0" applyNumberFormat="1" applyFill="1" applyBorder="1"/>
    <xf numFmtId="0" fontId="6" fillId="0" borderId="0" xfId="0" applyNumberFormat="1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6" fillId="0" borderId="11" xfId="0" applyNumberFormat="1" applyFont="1" applyFill="1" applyBorder="1" applyAlignment="1">
      <alignment horizontal="center" vertical="center" wrapText="1"/>
    </xf>
    <xf numFmtId="0" fontId="38" fillId="0" borderId="21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28" fillId="0" borderId="0" xfId="0" applyFont="1" applyFill="1" applyAlignment="1">
      <alignment horizontal="left"/>
    </xf>
    <xf numFmtId="49" fontId="33" fillId="0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Fill="1" applyBorder="1" applyAlignment="1">
      <alignment horizontal="center" vertical="center"/>
    </xf>
    <xf numFmtId="49" fontId="3" fillId="0" borderId="26" xfId="0" applyNumberFormat="1" applyFont="1" applyFill="1" applyBorder="1" applyAlignment="1">
      <alignment horizontal="center" vertical="center"/>
    </xf>
    <xf numFmtId="0" fontId="28" fillId="0" borderId="0" xfId="0" applyFont="1" applyFill="1" applyAlignment="1"/>
    <xf numFmtId="0" fontId="0" fillId="0" borderId="22" xfId="0" applyFill="1" applyBorder="1" applyAlignment="1">
      <alignment horizontal="center"/>
    </xf>
    <xf numFmtId="0" fontId="27" fillId="0" borderId="23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/>
    </xf>
    <xf numFmtId="0" fontId="32" fillId="0" borderId="23" xfId="0" applyFont="1" applyFill="1" applyBorder="1" applyAlignment="1">
      <alignment horizontal="center"/>
    </xf>
    <xf numFmtId="2" fontId="4" fillId="0" borderId="24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1" fillId="0" borderId="0" xfId="0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14" fontId="0" fillId="0" borderId="0" xfId="0" applyNumberFormat="1" applyFill="1"/>
    <xf numFmtId="0" fontId="0" fillId="2" borderId="1" xfId="0" applyFill="1" applyBorder="1" applyAlignment="1">
      <alignment horizontal="center"/>
    </xf>
    <xf numFmtId="0" fontId="0" fillId="0" borderId="25" xfId="0" applyFill="1" applyBorder="1"/>
    <xf numFmtId="0" fontId="0" fillId="0" borderId="21" xfId="0" applyFill="1" applyBorder="1"/>
    <xf numFmtId="14" fontId="0" fillId="0" borderId="21" xfId="0" applyNumberFormat="1" applyFill="1" applyBorder="1"/>
    <xf numFmtId="0" fontId="0" fillId="0" borderId="21" xfId="0" applyFill="1" applyBorder="1" applyAlignment="1">
      <alignment horizontal="center"/>
    </xf>
    <xf numFmtId="0" fontId="21" fillId="0" borderId="21" xfId="0" applyFont="1" applyFill="1" applyBorder="1" applyAlignment="1">
      <alignment horizontal="center"/>
    </xf>
    <xf numFmtId="2" fontId="0" fillId="0" borderId="26" xfId="0" applyNumberForma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21" fillId="0" borderId="23" xfId="0" applyFont="1" applyFill="1" applyBorder="1" applyAlignment="1">
      <alignment horizontal="center"/>
    </xf>
    <xf numFmtId="2" fontId="0" fillId="0" borderId="24" xfId="0" applyNumberFormat="1" applyFill="1" applyBorder="1" applyAlignment="1">
      <alignment horizontal="center"/>
    </xf>
    <xf numFmtId="0" fontId="0" fillId="0" borderId="30" xfId="0" applyFill="1" applyBorder="1"/>
    <xf numFmtId="0" fontId="0" fillId="0" borderId="30" xfId="0" applyFill="1" applyBorder="1" applyAlignment="1">
      <alignment horizontal="center"/>
    </xf>
    <xf numFmtId="0" fontId="21" fillId="0" borderId="30" xfId="0" applyFont="1" applyFill="1" applyBorder="1" applyAlignment="1">
      <alignment horizontal="center"/>
    </xf>
    <xf numFmtId="2" fontId="0" fillId="0" borderId="27" xfId="0" applyNumberForma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33" fillId="0" borderId="0" xfId="0" applyFont="1" applyFill="1" applyAlignment="1">
      <alignment horizontal="center" vertical="top"/>
    </xf>
    <xf numFmtId="14" fontId="18" fillId="0" borderId="0" xfId="0" applyNumberFormat="1" applyFont="1" applyFill="1" applyAlignment="1">
      <alignment horizontal="left"/>
    </xf>
    <xf numFmtId="0" fontId="12" fillId="0" borderId="0" xfId="0" applyFont="1" applyFill="1" applyAlignment="1">
      <alignment horizontal="center"/>
    </xf>
    <xf numFmtId="0" fontId="11" fillId="0" borderId="3" xfId="0" applyFont="1" applyFill="1" applyBorder="1" applyAlignment="1">
      <alignment horizontal="center" vertical="top"/>
    </xf>
    <xf numFmtId="0" fontId="11" fillId="0" borderId="5" xfId="0" applyFont="1" applyFill="1" applyBorder="1" applyAlignment="1">
      <alignment horizontal="center" vertical="top"/>
    </xf>
    <xf numFmtId="0" fontId="3" fillId="0" borderId="8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3" fillId="0" borderId="6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shrinkToFit="1"/>
    </xf>
    <xf numFmtId="49" fontId="1" fillId="0" borderId="0" xfId="0" applyNumberFormat="1" applyFont="1" applyFill="1" applyBorder="1" applyAlignment="1">
      <alignment horizontal="center" vertical="center"/>
    </xf>
    <xf numFmtId="49" fontId="3" fillId="0" borderId="27" xfId="0" applyNumberFormat="1" applyFont="1" applyFill="1" applyBorder="1" applyAlignment="1">
      <alignment horizontal="center" vertical="center"/>
    </xf>
    <xf numFmtId="49" fontId="3" fillId="0" borderId="26" xfId="0" applyNumberFormat="1" applyFont="1" applyFill="1" applyBorder="1" applyAlignment="1">
      <alignment horizontal="center" vertical="center"/>
    </xf>
    <xf numFmtId="49" fontId="3" fillId="0" borderId="28" xfId="0" applyNumberFormat="1" applyFont="1" applyFill="1" applyBorder="1" applyAlignment="1">
      <alignment horizontal="center" vertical="center"/>
    </xf>
    <xf numFmtId="49" fontId="3" fillId="0" borderId="29" xfId="0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horizontal="left"/>
    </xf>
    <xf numFmtId="0" fontId="31" fillId="0" borderId="9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opLeftCell="B23" zoomScale="115" zoomScaleNormal="115" workbookViewId="0">
      <selection activeCell="J25" sqref="J25"/>
    </sheetView>
  </sheetViews>
  <sheetFormatPr baseColWidth="10" defaultColWidth="11.54296875" defaultRowHeight="14.5"/>
  <cols>
    <col min="1" max="1" width="0.81640625" style="4" customWidth="1"/>
    <col min="2" max="2" width="7" style="4" customWidth="1"/>
    <col min="3" max="3" width="12.90625" style="4" customWidth="1"/>
    <col min="4" max="4" width="19.54296875" style="4" customWidth="1"/>
    <col min="5" max="5" width="7.90625" style="4" customWidth="1"/>
    <col min="6" max="6" width="10.08984375" style="4" customWidth="1"/>
    <col min="7" max="7" width="14.6328125" style="4" customWidth="1"/>
    <col min="8" max="8" width="4.453125" style="15" customWidth="1"/>
    <col min="9" max="16384" width="11.54296875" style="4"/>
  </cols>
  <sheetData>
    <row r="1" spans="1:7" ht="20.5">
      <c r="A1" s="2"/>
      <c r="B1" s="3" t="s">
        <v>0</v>
      </c>
      <c r="C1" s="2"/>
      <c r="D1" s="2"/>
      <c r="E1" s="2"/>
      <c r="F1" s="2"/>
      <c r="G1" s="2"/>
    </row>
    <row r="2" spans="1:7" ht="11.5" customHeight="1">
      <c r="A2" s="2"/>
      <c r="B2" s="5" t="s">
        <v>1</v>
      </c>
      <c r="C2" s="2"/>
      <c r="D2" s="2"/>
      <c r="E2" s="2"/>
      <c r="F2" s="2"/>
      <c r="G2" s="2"/>
    </row>
    <row r="3" spans="1:7" ht="11.5" customHeight="1">
      <c r="A3" s="2"/>
      <c r="B3" s="6" t="s">
        <v>3</v>
      </c>
      <c r="C3" s="159"/>
      <c r="D3" s="159"/>
      <c r="E3" s="159"/>
      <c r="F3" s="159"/>
      <c r="G3" s="2"/>
    </row>
    <row r="4" spans="1:7" ht="11.5" customHeight="1">
      <c r="A4" s="2"/>
      <c r="B4" s="7" t="s">
        <v>4</v>
      </c>
      <c r="C4" s="8"/>
      <c r="D4" s="8"/>
      <c r="E4" s="8"/>
      <c r="F4" s="8"/>
      <c r="G4" s="2"/>
    </row>
    <row r="5" spans="1:7" ht="11.5" customHeight="1">
      <c r="A5" s="2"/>
      <c r="B5" s="7" t="s">
        <v>5</v>
      </c>
      <c r="C5" s="8"/>
      <c r="D5" s="8"/>
      <c r="E5" s="8"/>
      <c r="F5" s="8"/>
      <c r="G5" s="2"/>
    </row>
    <row r="6" spans="1:7" ht="11.5" customHeight="1">
      <c r="A6" s="2"/>
      <c r="B6" s="9" t="s">
        <v>6</v>
      </c>
      <c r="C6" s="2"/>
      <c r="D6" s="2"/>
      <c r="E6" s="2"/>
      <c r="F6" s="2"/>
      <c r="G6" s="2"/>
    </row>
    <row r="7" spans="1:7" ht="11.5" customHeight="1">
      <c r="A7" s="2"/>
      <c r="B7" s="9" t="s">
        <v>7</v>
      </c>
      <c r="C7" s="2"/>
      <c r="D7" s="2"/>
      <c r="E7" s="2"/>
      <c r="F7" s="2"/>
      <c r="G7" s="2"/>
    </row>
    <row r="8" spans="1:7" ht="20" thickBot="1">
      <c r="A8" s="2"/>
      <c r="B8" s="2"/>
      <c r="C8" s="2"/>
      <c r="D8" s="10"/>
      <c r="E8" s="2"/>
      <c r="F8" s="2"/>
      <c r="G8" s="2"/>
    </row>
    <row r="9" spans="1:7" ht="15.5">
      <c r="A9" s="2"/>
      <c r="B9" s="21" t="s">
        <v>8</v>
      </c>
      <c r="C9" s="160" t="s">
        <v>62</v>
      </c>
      <c r="D9" s="2"/>
      <c r="E9" s="2"/>
      <c r="F9" s="2"/>
      <c r="G9" s="2"/>
    </row>
    <row r="10" spans="1:7" ht="9" customHeight="1" thickBot="1">
      <c r="A10" s="2"/>
      <c r="B10" s="22"/>
      <c r="C10" s="161"/>
      <c r="D10" s="2"/>
      <c r="E10" s="2"/>
      <c r="F10" s="2"/>
      <c r="G10" s="2"/>
    </row>
    <row r="11" spans="1:7" ht="7" customHeight="1">
      <c r="A11" s="2"/>
      <c r="B11" s="2"/>
      <c r="C11" s="2"/>
      <c r="D11" s="2"/>
      <c r="E11" s="2"/>
      <c r="F11" s="2"/>
      <c r="G11" s="2"/>
    </row>
    <row r="12" spans="1:7" ht="7" customHeight="1" thickBot="1">
      <c r="A12" s="2"/>
      <c r="B12" s="2"/>
      <c r="C12" s="2"/>
      <c r="D12" s="2"/>
      <c r="E12" s="2"/>
      <c r="F12" s="2"/>
      <c r="G12" s="2"/>
    </row>
    <row r="13" spans="1:7" ht="15.5">
      <c r="A13" s="2"/>
      <c r="B13" s="11" t="s">
        <v>9</v>
      </c>
      <c r="C13" s="158">
        <v>46214</v>
      </c>
      <c r="D13" s="158"/>
      <c r="E13" s="165" t="s">
        <v>18</v>
      </c>
      <c r="F13" s="166"/>
      <c r="G13" s="167"/>
    </row>
    <row r="14" spans="1:7" ht="20.5" customHeight="1">
      <c r="A14" s="2"/>
      <c r="B14" s="12" t="s">
        <v>22</v>
      </c>
      <c r="C14" s="17"/>
      <c r="D14" s="156" t="s">
        <v>144</v>
      </c>
      <c r="E14" s="162" t="s">
        <v>19</v>
      </c>
      <c r="F14" s="163"/>
      <c r="G14" s="164"/>
    </row>
    <row r="15" spans="1:7" ht="15.5" customHeight="1">
      <c r="A15" s="2"/>
      <c r="B15" s="13" t="s">
        <v>10</v>
      </c>
      <c r="C15" s="13" t="s">
        <v>11</v>
      </c>
      <c r="D15" s="14"/>
      <c r="E15" s="57" t="s">
        <v>20</v>
      </c>
      <c r="F15" s="58"/>
      <c r="G15" s="71"/>
    </row>
    <row r="16" spans="1:7" ht="15.5" customHeight="1" thickBot="1">
      <c r="A16" s="2"/>
      <c r="B16" s="13" t="s">
        <v>12</v>
      </c>
      <c r="C16" s="13"/>
      <c r="D16" s="14"/>
      <c r="E16" s="59" t="s">
        <v>21</v>
      </c>
      <c r="F16" s="60"/>
      <c r="G16" s="72"/>
    </row>
    <row r="17" spans="1:7" ht="16" customHeight="1" thickBot="1">
      <c r="A17" s="2"/>
      <c r="B17" s="2"/>
      <c r="C17" s="2"/>
      <c r="D17" s="2"/>
      <c r="E17" s="2"/>
      <c r="F17" s="2"/>
      <c r="G17" s="2"/>
    </row>
    <row r="18" spans="1:7" ht="15.5">
      <c r="A18" s="2"/>
      <c r="B18" s="76" t="s">
        <v>13</v>
      </c>
      <c r="C18" s="77" t="s">
        <v>2</v>
      </c>
      <c r="D18" s="77" t="s">
        <v>14</v>
      </c>
      <c r="E18" s="77" t="s">
        <v>49</v>
      </c>
      <c r="F18" s="77" t="s">
        <v>15</v>
      </c>
      <c r="G18" s="78" t="s">
        <v>16</v>
      </c>
    </row>
    <row r="19" spans="1:7" ht="29" customHeight="1">
      <c r="A19" s="2"/>
      <c r="B19" s="127" t="s">
        <v>56</v>
      </c>
      <c r="C19" s="116" t="s">
        <v>52</v>
      </c>
      <c r="D19" s="104" t="s">
        <v>57</v>
      </c>
      <c r="E19" s="105">
        <v>348</v>
      </c>
      <c r="F19" s="106">
        <v>19.739999999999998</v>
      </c>
      <c r="G19" s="128">
        <f>E19*F19</f>
        <v>6869.5199999999995</v>
      </c>
    </row>
    <row r="20" spans="1:7" ht="29" customHeight="1">
      <c r="A20" s="2"/>
      <c r="B20" s="127" t="s">
        <v>142</v>
      </c>
      <c r="C20" s="116" t="s">
        <v>65</v>
      </c>
      <c r="D20" s="104" t="s">
        <v>134</v>
      </c>
      <c r="E20" s="105">
        <v>72</v>
      </c>
      <c r="F20" s="106">
        <v>11.47</v>
      </c>
      <c r="G20" s="128">
        <f t="shared" ref="G20:G27" si="0">E20*F20</f>
        <v>825.84</v>
      </c>
    </row>
    <row r="21" spans="1:7" ht="29" customHeight="1">
      <c r="A21" s="2"/>
      <c r="B21" s="127" t="s">
        <v>142</v>
      </c>
      <c r="C21" s="116" t="s">
        <v>65</v>
      </c>
      <c r="D21" s="104" t="s">
        <v>135</v>
      </c>
      <c r="E21" s="105">
        <v>51</v>
      </c>
      <c r="F21" s="106">
        <v>11.47</v>
      </c>
      <c r="G21" s="128">
        <f t="shared" si="0"/>
        <v>584.97</v>
      </c>
    </row>
    <row r="22" spans="1:7" ht="29" customHeight="1">
      <c r="A22" s="2"/>
      <c r="B22" s="127" t="s">
        <v>142</v>
      </c>
      <c r="C22" s="116" t="s">
        <v>65</v>
      </c>
      <c r="D22" s="104" t="s">
        <v>136</v>
      </c>
      <c r="E22" s="105">
        <v>83</v>
      </c>
      <c r="F22" s="106">
        <v>11.47</v>
      </c>
      <c r="G22" s="128">
        <f t="shared" si="0"/>
        <v>952.0100000000001</v>
      </c>
    </row>
    <row r="23" spans="1:7" ht="29" customHeight="1">
      <c r="A23" s="2"/>
      <c r="B23" s="127" t="s">
        <v>142</v>
      </c>
      <c r="C23" s="116" t="s">
        <v>98</v>
      </c>
      <c r="D23" s="104" t="s">
        <v>137</v>
      </c>
      <c r="E23" s="105">
        <v>53</v>
      </c>
      <c r="F23" s="106">
        <v>11.47</v>
      </c>
      <c r="G23" s="128">
        <f t="shared" si="0"/>
        <v>607.91000000000008</v>
      </c>
    </row>
    <row r="24" spans="1:7" ht="29" customHeight="1">
      <c r="A24" s="2"/>
      <c r="B24" s="127" t="s">
        <v>142</v>
      </c>
      <c r="C24" s="116" t="s">
        <v>98</v>
      </c>
      <c r="D24" s="104" t="s">
        <v>138</v>
      </c>
      <c r="E24" s="105">
        <v>212</v>
      </c>
      <c r="F24" s="106">
        <v>11.47</v>
      </c>
      <c r="G24" s="128">
        <f t="shared" si="0"/>
        <v>2431.6400000000003</v>
      </c>
    </row>
    <row r="25" spans="1:7" ht="29" customHeight="1">
      <c r="A25" s="2"/>
      <c r="B25" s="127" t="s">
        <v>143</v>
      </c>
      <c r="C25" s="116" t="s">
        <v>98</v>
      </c>
      <c r="D25" s="104" t="s">
        <v>139</v>
      </c>
      <c r="E25" s="105">
        <v>71</v>
      </c>
      <c r="F25" s="106">
        <v>14.47</v>
      </c>
      <c r="G25" s="128">
        <f t="shared" si="0"/>
        <v>1027.3700000000001</v>
      </c>
    </row>
    <row r="26" spans="1:7" ht="29" customHeight="1">
      <c r="A26" s="2"/>
      <c r="B26" s="127" t="s">
        <v>143</v>
      </c>
      <c r="C26" s="116" t="s">
        <v>98</v>
      </c>
      <c r="D26" s="104" t="s">
        <v>140</v>
      </c>
      <c r="E26" s="105">
        <v>66</v>
      </c>
      <c r="F26" s="106">
        <v>14.47</v>
      </c>
      <c r="G26" s="128">
        <f t="shared" si="0"/>
        <v>955.0200000000001</v>
      </c>
    </row>
    <row r="27" spans="1:7" ht="29" customHeight="1">
      <c r="A27" s="2"/>
      <c r="B27" s="127" t="s">
        <v>143</v>
      </c>
      <c r="C27" s="116" t="s">
        <v>98</v>
      </c>
      <c r="D27" s="104" t="s">
        <v>134</v>
      </c>
      <c r="E27" s="105">
        <v>77</v>
      </c>
      <c r="F27" s="106">
        <v>14.47</v>
      </c>
      <c r="G27" s="128">
        <f t="shared" si="0"/>
        <v>1114.19</v>
      </c>
    </row>
    <row r="28" spans="1:7" ht="29" customHeight="1">
      <c r="A28" s="2"/>
      <c r="B28" s="127"/>
      <c r="C28" s="116"/>
      <c r="D28" s="104"/>
      <c r="E28" s="105"/>
      <c r="F28" s="106"/>
      <c r="G28" s="128"/>
    </row>
    <row r="29" spans="1:7" ht="21" customHeight="1">
      <c r="B29" s="16"/>
      <c r="C29" s="16"/>
      <c r="D29" s="16"/>
      <c r="E29" s="16">
        <f>SUM(E19:E28)</f>
        <v>1033</v>
      </c>
      <c r="F29" s="32"/>
      <c r="G29" s="33">
        <f>SUM(G19:G27)</f>
        <v>15368.470000000001</v>
      </c>
    </row>
    <row r="31" spans="1:7" ht="15.5">
      <c r="C31" s="16"/>
      <c r="D31" s="64" t="s">
        <v>145</v>
      </c>
      <c r="E31" s="65"/>
      <c r="F31" s="34"/>
      <c r="G31" s="79"/>
    </row>
    <row r="32" spans="1:7" ht="15.5">
      <c r="C32" s="16"/>
      <c r="D32" s="16"/>
      <c r="E32" s="16"/>
      <c r="F32" s="16"/>
      <c r="G32" s="2"/>
    </row>
    <row r="33" spans="2:7" ht="15.5">
      <c r="C33" s="157" t="s">
        <v>146</v>
      </c>
      <c r="D33" s="157"/>
      <c r="E33" s="157"/>
      <c r="F33" s="35"/>
      <c r="G33" s="2"/>
    </row>
    <row r="36" spans="2:7" ht="15.5">
      <c r="B36" s="36" t="s">
        <v>17</v>
      </c>
      <c r="C36" s="37"/>
      <c r="D36" s="38"/>
      <c r="E36" s="2"/>
    </row>
  </sheetData>
  <mergeCells count="6">
    <mergeCell ref="C33:E33"/>
    <mergeCell ref="C13:D13"/>
    <mergeCell ref="C3:F3"/>
    <mergeCell ref="C9:C10"/>
    <mergeCell ref="E14:G14"/>
    <mergeCell ref="E13:G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selection activeCell="G46" sqref="G46"/>
    </sheetView>
  </sheetViews>
  <sheetFormatPr baseColWidth="10" defaultRowHeight="14.5"/>
  <cols>
    <col min="1" max="1" width="6.26953125" customWidth="1"/>
    <col min="2" max="2" width="12" customWidth="1"/>
    <col min="3" max="3" width="23.6328125" customWidth="1"/>
    <col min="4" max="4" width="8.1796875" customWidth="1"/>
    <col min="5" max="5" width="9.6328125" style="4" customWidth="1"/>
    <col min="6" max="6" width="11.1796875" customWidth="1"/>
  </cols>
  <sheetData>
    <row r="1" spans="1:6" ht="30.5" customHeight="1">
      <c r="B1" s="23" t="s">
        <v>0</v>
      </c>
      <c r="C1" s="24"/>
    </row>
    <row r="2" spans="1:6" ht="15" customHeight="1">
      <c r="A2" s="19"/>
      <c r="B2" s="6" t="s">
        <v>1</v>
      </c>
      <c r="C2" s="20"/>
      <c r="D2" s="18"/>
      <c r="E2" s="25"/>
      <c r="F2" s="25"/>
    </row>
    <row r="3" spans="1:6" ht="26">
      <c r="A3" s="19" t="s">
        <v>23</v>
      </c>
      <c r="B3" s="20"/>
      <c r="C3" s="18"/>
      <c r="D3" s="39" t="s">
        <v>24</v>
      </c>
      <c r="E3" s="25"/>
      <c r="F3" s="25"/>
    </row>
    <row r="4" spans="1:6" ht="20" customHeight="1">
      <c r="A4" s="19"/>
      <c r="B4" s="26" t="s">
        <v>25</v>
      </c>
      <c r="C4" s="40" t="s">
        <v>110</v>
      </c>
      <c r="D4" s="27"/>
      <c r="E4" s="28"/>
      <c r="F4" s="28"/>
    </row>
    <row r="5" spans="1:6" ht="20" customHeight="1" thickBot="1">
      <c r="A5" s="19"/>
      <c r="B5" s="29" t="s">
        <v>26</v>
      </c>
      <c r="C5" s="41">
        <v>46214</v>
      </c>
      <c r="D5" s="30"/>
      <c r="E5" s="19"/>
      <c r="F5" s="31"/>
    </row>
    <row r="6" spans="1:6" ht="20" customHeight="1" thickBot="1">
      <c r="A6" s="81" t="s">
        <v>27</v>
      </c>
      <c r="B6" s="82" t="s">
        <v>2</v>
      </c>
      <c r="C6" s="83" t="s">
        <v>28</v>
      </c>
      <c r="D6" s="83" t="s">
        <v>29</v>
      </c>
      <c r="E6" s="83" t="s">
        <v>55</v>
      </c>
      <c r="F6" s="84" t="s">
        <v>30</v>
      </c>
    </row>
    <row r="7" spans="1:6" ht="14" customHeight="1">
      <c r="A7" s="74"/>
      <c r="B7" s="103" t="s">
        <v>52</v>
      </c>
      <c r="C7" s="121" t="s">
        <v>58</v>
      </c>
      <c r="D7" s="122">
        <v>5</v>
      </c>
      <c r="E7" s="73">
        <v>345</v>
      </c>
      <c r="F7" s="80" t="s">
        <v>63</v>
      </c>
    </row>
    <row r="8" spans="1:6" ht="14" customHeight="1">
      <c r="A8" s="117"/>
      <c r="B8" s="116" t="s">
        <v>52</v>
      </c>
      <c r="C8" s="104" t="s">
        <v>58</v>
      </c>
      <c r="D8" s="105">
        <v>3</v>
      </c>
      <c r="E8" s="115">
        <v>3</v>
      </c>
      <c r="F8" s="118" t="s">
        <v>64</v>
      </c>
    </row>
    <row r="9" spans="1:6" ht="14" customHeight="1">
      <c r="A9" s="117"/>
      <c r="B9" s="116" t="s">
        <v>65</v>
      </c>
      <c r="C9" s="104" t="s">
        <v>66</v>
      </c>
      <c r="D9" s="105">
        <v>12</v>
      </c>
      <c r="E9" s="115">
        <v>60</v>
      </c>
      <c r="F9" s="118" t="s">
        <v>67</v>
      </c>
    </row>
    <row r="10" spans="1:6" ht="14" customHeight="1">
      <c r="A10" s="117"/>
      <c r="B10" s="116" t="s">
        <v>65</v>
      </c>
      <c r="C10" s="104" t="s">
        <v>66</v>
      </c>
      <c r="D10" s="105">
        <v>11</v>
      </c>
      <c r="E10" s="115">
        <v>11</v>
      </c>
      <c r="F10" s="169" t="s">
        <v>59</v>
      </c>
    </row>
    <row r="11" spans="1:6" ht="14" customHeight="1">
      <c r="A11" s="117"/>
      <c r="B11" s="116" t="s">
        <v>65</v>
      </c>
      <c r="C11" s="104" t="s">
        <v>68</v>
      </c>
      <c r="D11" s="105">
        <v>1</v>
      </c>
      <c r="E11" s="115">
        <v>1</v>
      </c>
      <c r="F11" s="170"/>
    </row>
    <row r="12" spans="1:6" ht="14" customHeight="1">
      <c r="A12" s="117"/>
      <c r="B12" s="116" t="s">
        <v>65</v>
      </c>
      <c r="C12" s="104" t="s">
        <v>70</v>
      </c>
      <c r="D12" s="105">
        <v>9</v>
      </c>
      <c r="E12" s="115">
        <v>9</v>
      </c>
      <c r="F12" s="118" t="s">
        <v>69</v>
      </c>
    </row>
    <row r="13" spans="1:6" ht="14" customHeight="1">
      <c r="A13" s="117"/>
      <c r="B13" s="116" t="s">
        <v>65</v>
      </c>
      <c r="C13" s="104" t="s">
        <v>71</v>
      </c>
      <c r="D13" s="105">
        <v>11</v>
      </c>
      <c r="E13" s="115">
        <v>11</v>
      </c>
      <c r="F13" s="118" t="s">
        <v>72</v>
      </c>
    </row>
    <row r="14" spans="1:6" ht="14" customHeight="1">
      <c r="A14" s="117"/>
      <c r="B14" s="116" t="s">
        <v>65</v>
      </c>
      <c r="C14" s="104" t="s">
        <v>71</v>
      </c>
      <c r="D14" s="105">
        <v>10</v>
      </c>
      <c r="E14" s="115">
        <v>10</v>
      </c>
      <c r="F14" s="118" t="s">
        <v>73</v>
      </c>
    </row>
    <row r="15" spans="1:6" ht="14" customHeight="1">
      <c r="A15" s="117"/>
      <c r="B15" s="116" t="s">
        <v>65</v>
      </c>
      <c r="C15" s="104" t="s">
        <v>76</v>
      </c>
      <c r="D15" s="105">
        <v>11</v>
      </c>
      <c r="E15" s="115">
        <v>11</v>
      </c>
      <c r="F15" s="118" t="s">
        <v>74</v>
      </c>
    </row>
    <row r="16" spans="1:6" ht="14" customHeight="1">
      <c r="A16" s="117"/>
      <c r="B16" s="116" t="s">
        <v>65</v>
      </c>
      <c r="C16" s="104" t="s">
        <v>76</v>
      </c>
      <c r="D16" s="105">
        <v>10</v>
      </c>
      <c r="E16" s="115">
        <v>10</v>
      </c>
      <c r="F16" s="118" t="s">
        <v>75</v>
      </c>
    </row>
    <row r="17" spans="1:6" ht="14" customHeight="1">
      <c r="A17" s="117"/>
      <c r="B17" s="116" t="s">
        <v>65</v>
      </c>
      <c r="C17" s="104" t="s">
        <v>96</v>
      </c>
      <c r="D17" s="105">
        <v>10</v>
      </c>
      <c r="E17" s="115">
        <v>30</v>
      </c>
      <c r="F17" s="118" t="s">
        <v>77</v>
      </c>
    </row>
    <row r="18" spans="1:6" ht="14" customHeight="1">
      <c r="A18" s="117"/>
      <c r="B18" s="116" t="s">
        <v>65</v>
      </c>
      <c r="C18" s="104" t="s">
        <v>95</v>
      </c>
      <c r="D18" s="105">
        <v>11</v>
      </c>
      <c r="E18" s="115">
        <v>44</v>
      </c>
      <c r="F18" s="118" t="s">
        <v>78</v>
      </c>
    </row>
    <row r="19" spans="1:6" ht="14" customHeight="1">
      <c r="A19" s="117"/>
      <c r="B19" s="116" t="s">
        <v>65</v>
      </c>
      <c r="C19" s="104" t="s">
        <v>94</v>
      </c>
      <c r="D19" s="105">
        <v>7</v>
      </c>
      <c r="E19" s="115">
        <v>7</v>
      </c>
      <c r="F19" s="169" t="s">
        <v>79</v>
      </c>
    </row>
    <row r="20" spans="1:6" ht="14" customHeight="1">
      <c r="A20" s="117"/>
      <c r="B20" s="116" t="s">
        <v>65</v>
      </c>
      <c r="C20" s="104" t="s">
        <v>97</v>
      </c>
      <c r="D20" s="105">
        <v>2</v>
      </c>
      <c r="E20" s="115">
        <v>2</v>
      </c>
      <c r="F20" s="170"/>
    </row>
    <row r="21" spans="1:6" ht="14" customHeight="1">
      <c r="A21" s="117"/>
      <c r="B21" s="116" t="s">
        <v>98</v>
      </c>
      <c r="C21" s="104" t="s">
        <v>99</v>
      </c>
      <c r="D21" s="105">
        <v>10</v>
      </c>
      <c r="E21" s="115">
        <v>40</v>
      </c>
      <c r="F21" s="80" t="s">
        <v>80</v>
      </c>
    </row>
    <row r="22" spans="1:6" ht="14" customHeight="1">
      <c r="A22" s="117"/>
      <c r="B22" s="116" t="s">
        <v>98</v>
      </c>
      <c r="C22" s="104" t="s">
        <v>71</v>
      </c>
      <c r="D22" s="105">
        <v>13</v>
      </c>
      <c r="E22" s="115">
        <v>13</v>
      </c>
      <c r="F22" s="80" t="s">
        <v>81</v>
      </c>
    </row>
    <row r="23" spans="1:6" ht="14" customHeight="1">
      <c r="A23" s="117"/>
      <c r="B23" s="116" t="s">
        <v>98</v>
      </c>
      <c r="C23" s="104" t="s">
        <v>100</v>
      </c>
      <c r="D23" s="105">
        <v>10</v>
      </c>
      <c r="E23" s="115">
        <v>20</v>
      </c>
      <c r="F23" s="80" t="s">
        <v>82</v>
      </c>
    </row>
    <row r="24" spans="1:6" ht="14" customHeight="1">
      <c r="A24" s="117"/>
      <c r="B24" s="116" t="s">
        <v>98</v>
      </c>
      <c r="C24" s="104" t="s">
        <v>101</v>
      </c>
      <c r="D24" s="105">
        <v>11</v>
      </c>
      <c r="E24" s="115">
        <v>66</v>
      </c>
      <c r="F24" s="80" t="s">
        <v>83</v>
      </c>
    </row>
    <row r="25" spans="1:6" ht="14" customHeight="1">
      <c r="A25" s="117"/>
      <c r="B25" s="116" t="s">
        <v>98</v>
      </c>
      <c r="C25" s="104" t="s">
        <v>102</v>
      </c>
      <c r="D25" s="105">
        <v>12</v>
      </c>
      <c r="E25" s="115">
        <v>96</v>
      </c>
      <c r="F25" s="80" t="s">
        <v>84</v>
      </c>
    </row>
    <row r="26" spans="1:6" ht="14" customHeight="1">
      <c r="A26" s="117"/>
      <c r="B26" s="116" t="s">
        <v>98</v>
      </c>
      <c r="C26" s="104" t="s">
        <v>103</v>
      </c>
      <c r="D26" s="105">
        <v>10</v>
      </c>
      <c r="E26" s="115">
        <v>30</v>
      </c>
      <c r="F26" s="80" t="s">
        <v>85</v>
      </c>
    </row>
    <row r="27" spans="1:6" ht="14" customHeight="1">
      <c r="A27" s="117"/>
      <c r="B27" s="116" t="s">
        <v>98</v>
      </c>
      <c r="C27" s="104" t="s">
        <v>104</v>
      </c>
      <c r="D27" s="105">
        <v>10</v>
      </c>
      <c r="E27" s="115">
        <v>10</v>
      </c>
      <c r="F27" s="80" t="s">
        <v>86</v>
      </c>
    </row>
    <row r="28" spans="1:6" ht="14" customHeight="1">
      <c r="A28" s="117"/>
      <c r="B28" s="116" t="s">
        <v>98</v>
      </c>
      <c r="C28" s="104" t="s">
        <v>105</v>
      </c>
      <c r="D28" s="105">
        <v>10</v>
      </c>
      <c r="E28" s="115">
        <v>10</v>
      </c>
      <c r="F28" s="80" t="s">
        <v>87</v>
      </c>
    </row>
    <row r="29" spans="1:6" ht="14" customHeight="1">
      <c r="A29" s="117"/>
      <c r="B29" s="116" t="s">
        <v>98</v>
      </c>
      <c r="C29" s="104" t="s">
        <v>104</v>
      </c>
      <c r="D29" s="105">
        <v>3</v>
      </c>
      <c r="E29" s="115">
        <v>3</v>
      </c>
      <c r="F29" s="169" t="s">
        <v>88</v>
      </c>
    </row>
    <row r="30" spans="1:6" ht="14" customHeight="1">
      <c r="A30" s="117"/>
      <c r="B30" s="116" t="s">
        <v>98</v>
      </c>
      <c r="C30" s="104" t="s">
        <v>105</v>
      </c>
      <c r="D30" s="105">
        <v>5</v>
      </c>
      <c r="E30" s="115">
        <v>5</v>
      </c>
      <c r="F30" s="171"/>
    </row>
    <row r="31" spans="1:6" ht="14" customHeight="1">
      <c r="A31" s="117"/>
      <c r="B31" s="116" t="s">
        <v>98</v>
      </c>
      <c r="C31" s="104" t="s">
        <v>106</v>
      </c>
      <c r="D31" s="105">
        <v>3</v>
      </c>
      <c r="E31" s="115">
        <v>3</v>
      </c>
      <c r="F31" s="170"/>
    </row>
    <row r="32" spans="1:6" ht="14" customHeight="1">
      <c r="A32" s="117"/>
      <c r="B32" s="116" t="s">
        <v>98</v>
      </c>
      <c r="C32" s="104" t="s">
        <v>106</v>
      </c>
      <c r="D32" s="105">
        <v>10</v>
      </c>
      <c r="E32" s="115">
        <v>40</v>
      </c>
      <c r="F32" s="129" t="s">
        <v>141</v>
      </c>
    </row>
    <row r="33" spans="1:6" ht="14" customHeight="1">
      <c r="A33" s="117"/>
      <c r="B33" s="116" t="s">
        <v>98</v>
      </c>
      <c r="C33" s="104" t="s">
        <v>107</v>
      </c>
      <c r="D33" s="105">
        <v>10</v>
      </c>
      <c r="E33" s="115">
        <v>40</v>
      </c>
      <c r="F33" s="80" t="s">
        <v>89</v>
      </c>
    </row>
    <row r="34" spans="1:6" ht="14" customHeight="1">
      <c r="A34" s="117"/>
      <c r="B34" s="116" t="s">
        <v>98</v>
      </c>
      <c r="C34" s="104" t="s">
        <v>108</v>
      </c>
      <c r="D34" s="105">
        <v>10</v>
      </c>
      <c r="E34" s="115">
        <v>20</v>
      </c>
      <c r="F34" s="80" t="s">
        <v>90</v>
      </c>
    </row>
    <row r="35" spans="1:6" ht="14" customHeight="1">
      <c r="A35" s="117"/>
      <c r="B35" s="116" t="s">
        <v>98</v>
      </c>
      <c r="C35" s="104" t="s">
        <v>107</v>
      </c>
      <c r="D35" s="105">
        <v>2</v>
      </c>
      <c r="E35" s="115">
        <v>2</v>
      </c>
      <c r="F35" s="169" t="s">
        <v>91</v>
      </c>
    </row>
    <row r="36" spans="1:6" ht="14" customHeight="1">
      <c r="A36" s="117"/>
      <c r="B36" s="116" t="s">
        <v>98</v>
      </c>
      <c r="C36" s="104" t="s">
        <v>108</v>
      </c>
      <c r="D36" s="105">
        <v>4</v>
      </c>
      <c r="E36" s="115">
        <v>4</v>
      </c>
      <c r="F36" s="170"/>
    </row>
    <row r="37" spans="1:6" ht="14" customHeight="1">
      <c r="A37" s="117"/>
      <c r="B37" s="116" t="s">
        <v>98</v>
      </c>
      <c r="C37" s="104" t="s">
        <v>66</v>
      </c>
      <c r="D37" s="105">
        <v>10</v>
      </c>
      <c r="E37" s="115">
        <v>70</v>
      </c>
      <c r="F37" s="80" t="s">
        <v>92</v>
      </c>
    </row>
    <row r="38" spans="1:6" ht="14" customHeight="1">
      <c r="A38" s="117"/>
      <c r="B38" s="116" t="s">
        <v>98</v>
      </c>
      <c r="C38" s="104" t="s">
        <v>66</v>
      </c>
      <c r="D38" s="105">
        <v>6</v>
      </c>
      <c r="E38" s="115">
        <v>6</v>
      </c>
      <c r="F38" s="169" t="s">
        <v>93</v>
      </c>
    </row>
    <row r="39" spans="1:6" ht="14" customHeight="1" thickBot="1">
      <c r="A39" s="119"/>
      <c r="B39" s="120" t="s">
        <v>98</v>
      </c>
      <c r="C39" s="107" t="s">
        <v>109</v>
      </c>
      <c r="D39" s="108">
        <v>1</v>
      </c>
      <c r="E39" s="109">
        <v>1</v>
      </c>
      <c r="F39" s="172"/>
    </row>
    <row r="40" spans="1:6" ht="14" customHeight="1">
      <c r="A40" s="61"/>
      <c r="B40" s="113"/>
      <c r="C40" s="114"/>
      <c r="D40" s="27"/>
      <c r="E40" s="61"/>
      <c r="F40" s="70"/>
    </row>
    <row r="41" spans="1:6" ht="14" customHeight="1">
      <c r="A41" s="61"/>
      <c r="B41" s="66"/>
      <c r="C41" s="61"/>
      <c r="D41" s="61"/>
      <c r="E41" s="61">
        <f>SUM(E7:E40)</f>
        <v>1033</v>
      </c>
      <c r="F41" s="70"/>
    </row>
    <row r="42" spans="1:6" ht="14" customHeight="1">
      <c r="A42" s="42"/>
      <c r="B42" s="43"/>
      <c r="C42" s="56" t="s">
        <v>147</v>
      </c>
      <c r="D42" s="44"/>
      <c r="E42" s="44"/>
      <c r="F42" s="45"/>
    </row>
    <row r="43" spans="1:6" ht="14" customHeight="1" thickBot="1">
      <c r="A43" s="42"/>
      <c r="B43" s="43"/>
      <c r="C43" s="56"/>
      <c r="D43" s="44"/>
      <c r="E43" s="44"/>
      <c r="F43" s="45"/>
    </row>
    <row r="44" spans="1:6" s="47" customFormat="1" ht="14" customHeight="1">
      <c r="A44" s="61"/>
      <c r="B44" s="66"/>
      <c r="C44" s="67" t="s">
        <v>47</v>
      </c>
      <c r="D44" s="62">
        <v>790</v>
      </c>
      <c r="E44" s="19"/>
      <c r="F44" s="75"/>
    </row>
    <row r="45" spans="1:6" s="47" customFormat="1" ht="14" customHeight="1" thickBot="1">
      <c r="A45" s="61"/>
      <c r="B45" s="68"/>
      <c r="C45" s="69" t="s">
        <v>48</v>
      </c>
      <c r="D45" s="63">
        <v>655</v>
      </c>
      <c r="E45" s="50"/>
      <c r="F45" s="70"/>
    </row>
    <row r="46" spans="1:6" ht="33.5" customHeight="1">
      <c r="B46" s="46"/>
    </row>
    <row r="47" spans="1:6">
      <c r="F47" s="47"/>
    </row>
    <row r="49" spans="1:6" ht="18" customHeight="1">
      <c r="A49" s="48"/>
      <c r="B49" s="49"/>
      <c r="C49" s="50"/>
      <c r="D49" s="51"/>
      <c r="E49" s="50"/>
      <c r="F49" s="168"/>
    </row>
    <row r="50" spans="1:6" ht="18" customHeight="1">
      <c r="A50" s="48"/>
      <c r="B50" s="49"/>
      <c r="C50" s="50"/>
      <c r="D50" s="51"/>
      <c r="E50" s="50"/>
      <c r="F50" s="168"/>
    </row>
    <row r="51" spans="1:6">
      <c r="B51" s="52"/>
      <c r="C51" s="52"/>
      <c r="D51" s="52"/>
      <c r="E51" s="15"/>
      <c r="F51" s="168"/>
    </row>
    <row r="52" spans="1:6">
      <c r="A52" s="19"/>
      <c r="B52" s="53"/>
      <c r="C52" s="54"/>
      <c r="D52" s="55"/>
      <c r="E52" s="54"/>
      <c r="F52" s="168"/>
    </row>
  </sheetData>
  <mergeCells count="6">
    <mergeCell ref="F49:F52"/>
    <mergeCell ref="F10:F11"/>
    <mergeCell ref="F19:F20"/>
    <mergeCell ref="F29:F31"/>
    <mergeCell ref="F35:F36"/>
    <mergeCell ref="F38:F3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tabSelected="1" topLeftCell="A6" zoomScale="85" zoomScaleNormal="85" workbookViewId="0">
      <selection activeCell="Q14" sqref="Q14"/>
    </sheetView>
  </sheetViews>
  <sheetFormatPr baseColWidth="10" defaultRowHeight="14.5"/>
  <cols>
    <col min="1" max="1" width="1.7265625" style="4" customWidth="1"/>
    <col min="2" max="2" width="3.90625" style="4" customWidth="1"/>
    <col min="3" max="3" width="5.36328125" style="4" customWidth="1"/>
    <col min="4" max="4" width="7.453125" style="4" customWidth="1"/>
    <col min="5" max="5" width="11" style="4" bestFit="1" customWidth="1"/>
    <col min="6" max="6" width="13" style="4" customWidth="1"/>
    <col min="7" max="7" width="20.453125" style="4" customWidth="1"/>
    <col min="8" max="8" width="7" style="138" customWidth="1"/>
    <col min="9" max="9" width="9.08984375" style="138" customWidth="1"/>
    <col min="10" max="10" width="3.7265625" style="138" customWidth="1"/>
    <col min="11" max="11" width="3.7265625" style="139" customWidth="1"/>
    <col min="12" max="12" width="3.7265625" style="138" customWidth="1"/>
    <col min="13" max="13" width="11.54296875" style="140" customWidth="1"/>
    <col min="14" max="16384" width="10.90625" style="4"/>
  </cols>
  <sheetData>
    <row r="1" spans="1:13">
      <c r="B1" s="173" t="s">
        <v>111</v>
      </c>
      <c r="C1" s="173"/>
      <c r="D1" s="173"/>
      <c r="E1" s="173"/>
      <c r="F1" s="88"/>
      <c r="G1" s="88"/>
      <c r="H1" s="89"/>
      <c r="I1" s="89"/>
      <c r="J1" s="89"/>
      <c r="K1" s="90"/>
      <c r="L1" s="89"/>
      <c r="M1" s="91"/>
    </row>
    <row r="2" spans="1:13">
      <c r="B2" s="130" t="s">
        <v>31</v>
      </c>
      <c r="C2" s="130"/>
      <c r="D2" s="130"/>
      <c r="E2" s="130"/>
      <c r="H2" s="89"/>
      <c r="I2" s="89"/>
      <c r="J2" s="89"/>
      <c r="K2" s="90"/>
      <c r="L2" s="89"/>
      <c r="M2" s="91"/>
    </row>
    <row r="3" spans="1:13" ht="15" thickBot="1">
      <c r="B3" s="126"/>
      <c r="C3" s="126"/>
      <c r="D3" s="126"/>
      <c r="E3" s="126"/>
      <c r="F3" s="174" t="s">
        <v>32</v>
      </c>
      <c r="G3" s="174"/>
      <c r="H3" s="89"/>
      <c r="I3" s="89"/>
      <c r="J3" s="89"/>
      <c r="K3" s="90"/>
      <c r="L3" s="89"/>
      <c r="M3" s="91"/>
    </row>
    <row r="4" spans="1:13" ht="16" thickBot="1">
      <c r="A4" s="131" t="s">
        <v>33</v>
      </c>
      <c r="B4" s="132" t="s">
        <v>34</v>
      </c>
      <c r="C4" s="132" t="s">
        <v>35</v>
      </c>
      <c r="D4" s="133" t="s">
        <v>36</v>
      </c>
      <c r="E4" s="133" t="s">
        <v>37</v>
      </c>
      <c r="F4" s="134" t="s">
        <v>38</v>
      </c>
      <c r="G4" s="134" t="s">
        <v>39</v>
      </c>
      <c r="H4" s="135" t="s">
        <v>40</v>
      </c>
      <c r="I4" s="135" t="s">
        <v>41</v>
      </c>
      <c r="J4" s="135" t="s">
        <v>42</v>
      </c>
      <c r="K4" s="136" t="s">
        <v>43</v>
      </c>
      <c r="L4" s="135" t="s">
        <v>44</v>
      </c>
      <c r="M4" s="137" t="s">
        <v>45</v>
      </c>
    </row>
    <row r="5" spans="1:13" ht="15" thickBot="1">
      <c r="A5" s="15"/>
      <c r="B5" s="98">
        <v>23</v>
      </c>
      <c r="C5" s="98">
        <v>401</v>
      </c>
      <c r="D5" s="98" t="s">
        <v>51</v>
      </c>
      <c r="E5" s="99">
        <v>46134</v>
      </c>
      <c r="F5" s="123">
        <v>9607110000</v>
      </c>
      <c r="G5" s="15" t="s">
        <v>60</v>
      </c>
      <c r="H5" s="123">
        <v>1110</v>
      </c>
      <c r="I5" s="123" t="s">
        <v>46</v>
      </c>
      <c r="J5" s="123"/>
      <c r="K5" s="124"/>
      <c r="L5" s="123"/>
      <c r="M5" s="125">
        <v>21027</v>
      </c>
    </row>
    <row r="6" spans="1:13" ht="15" thickBot="1">
      <c r="A6" s="97"/>
      <c r="B6" s="98">
        <v>23</v>
      </c>
      <c r="C6" s="98">
        <v>401</v>
      </c>
      <c r="D6" s="98" t="s">
        <v>51</v>
      </c>
      <c r="E6" s="99">
        <v>46134</v>
      </c>
      <c r="F6" s="100">
        <v>6305399300</v>
      </c>
      <c r="G6" s="98" t="s">
        <v>53</v>
      </c>
      <c r="H6" s="100">
        <v>117</v>
      </c>
      <c r="I6" s="100" t="s">
        <v>61</v>
      </c>
      <c r="J6" s="100"/>
      <c r="K6" s="101"/>
      <c r="L6" s="100"/>
      <c r="M6" s="102">
        <v>2050.002</v>
      </c>
    </row>
    <row r="7" spans="1:13" ht="15" thickBot="1">
      <c r="A7" s="97"/>
      <c r="B7" s="98">
        <v>23</v>
      </c>
      <c r="C7" s="98">
        <v>401</v>
      </c>
      <c r="D7" s="98" t="s">
        <v>51</v>
      </c>
      <c r="E7" s="99">
        <v>46134</v>
      </c>
      <c r="F7" s="86">
        <v>4202210000</v>
      </c>
      <c r="G7" s="85" t="s">
        <v>54</v>
      </c>
      <c r="H7" s="142">
        <v>568</v>
      </c>
      <c r="I7" s="86" t="s">
        <v>61</v>
      </c>
      <c r="J7" s="86"/>
      <c r="K7" s="87"/>
      <c r="L7" s="86"/>
      <c r="M7" s="92">
        <v>136227.92000000001</v>
      </c>
    </row>
    <row r="8" spans="1:13" ht="18.5" customHeight="1" thickBot="1">
      <c r="A8" s="110"/>
      <c r="B8" s="111">
        <v>23</v>
      </c>
      <c r="C8" s="111">
        <v>401</v>
      </c>
      <c r="D8" s="111" t="s">
        <v>51</v>
      </c>
      <c r="E8" s="112">
        <v>46134</v>
      </c>
      <c r="F8" s="93">
        <v>4821100000</v>
      </c>
      <c r="G8" s="93" t="s">
        <v>50</v>
      </c>
      <c r="H8" s="94">
        <v>773</v>
      </c>
      <c r="I8" s="94" t="s">
        <v>46</v>
      </c>
      <c r="J8" s="94"/>
      <c r="K8" s="95"/>
      <c r="L8" s="94"/>
      <c r="M8" s="96">
        <v>1292.5440000000001</v>
      </c>
    </row>
    <row r="9" spans="1:13" ht="15" thickBot="1"/>
    <row r="10" spans="1:13" ht="15" thickBot="1">
      <c r="A10" s="110"/>
      <c r="B10" s="111">
        <v>23</v>
      </c>
      <c r="C10" s="111">
        <v>401</v>
      </c>
      <c r="D10" s="111" t="s">
        <v>112</v>
      </c>
      <c r="E10" s="112">
        <v>46176</v>
      </c>
      <c r="F10" s="149">
        <v>4819209080</v>
      </c>
      <c r="G10" s="111" t="s">
        <v>113</v>
      </c>
      <c r="H10" s="149">
        <v>231</v>
      </c>
      <c r="I10" s="149" t="s">
        <v>46</v>
      </c>
      <c r="J10" s="149"/>
      <c r="K10" s="150"/>
      <c r="L10" s="149"/>
      <c r="M10" s="151">
        <v>7990.5659999999998</v>
      </c>
    </row>
    <row r="11" spans="1:13">
      <c r="A11" s="143"/>
      <c r="B11" s="144">
        <v>23</v>
      </c>
      <c r="C11" s="144">
        <v>401</v>
      </c>
      <c r="D11" s="144" t="s">
        <v>115</v>
      </c>
      <c r="E11" s="145">
        <v>46204</v>
      </c>
      <c r="F11" s="146">
        <v>8308900090</v>
      </c>
      <c r="G11" s="144" t="s">
        <v>116</v>
      </c>
      <c r="H11" s="146">
        <v>2394</v>
      </c>
      <c r="I11" s="146" t="s">
        <v>46</v>
      </c>
      <c r="J11" s="146"/>
      <c r="K11" s="147"/>
      <c r="L11" s="146"/>
      <c r="M11" s="148">
        <v>7104</v>
      </c>
    </row>
    <row r="12" spans="1:13">
      <c r="A12" s="143"/>
      <c r="B12" s="144">
        <v>23</v>
      </c>
      <c r="C12" s="144">
        <v>401</v>
      </c>
      <c r="D12" s="144" t="s">
        <v>115</v>
      </c>
      <c r="E12" s="145">
        <v>46204</v>
      </c>
      <c r="F12" s="86">
        <v>3919108000</v>
      </c>
      <c r="G12" s="85" t="s">
        <v>117</v>
      </c>
      <c r="H12" s="86">
        <v>10</v>
      </c>
      <c r="I12" s="86" t="s">
        <v>46</v>
      </c>
      <c r="J12" s="86"/>
      <c r="K12" s="87"/>
      <c r="L12" s="86"/>
      <c r="M12" s="92">
        <v>97</v>
      </c>
    </row>
    <row r="13" spans="1:13">
      <c r="A13" s="143"/>
      <c r="B13" s="144">
        <v>23</v>
      </c>
      <c r="C13" s="144">
        <v>401</v>
      </c>
      <c r="D13" s="144" t="s">
        <v>115</v>
      </c>
      <c r="E13" s="145">
        <v>46204</v>
      </c>
      <c r="F13" s="86">
        <v>9607110000</v>
      </c>
      <c r="G13" s="85" t="s">
        <v>118</v>
      </c>
      <c r="H13" s="86">
        <v>18</v>
      </c>
      <c r="I13" s="86" t="s">
        <v>46</v>
      </c>
      <c r="J13" s="86"/>
      <c r="K13" s="87"/>
      <c r="L13" s="86"/>
      <c r="M13" s="92">
        <v>613</v>
      </c>
    </row>
    <row r="14" spans="1:13">
      <c r="A14" s="143"/>
      <c r="B14" s="144">
        <v>23</v>
      </c>
      <c r="C14" s="144">
        <v>401</v>
      </c>
      <c r="D14" s="144" t="s">
        <v>115</v>
      </c>
      <c r="E14" s="145">
        <v>46204</v>
      </c>
      <c r="F14" s="86">
        <v>5401100099</v>
      </c>
      <c r="G14" s="85" t="s">
        <v>119</v>
      </c>
      <c r="H14" s="86">
        <v>14</v>
      </c>
      <c r="I14" s="86" t="s">
        <v>46</v>
      </c>
      <c r="J14" s="86"/>
      <c r="K14" s="87"/>
      <c r="L14" s="86"/>
      <c r="M14" s="92">
        <v>1333</v>
      </c>
    </row>
    <row r="15" spans="1:13">
      <c r="A15" s="143"/>
      <c r="B15" s="144">
        <v>23</v>
      </c>
      <c r="C15" s="144">
        <v>401</v>
      </c>
      <c r="D15" s="144" t="s">
        <v>115</v>
      </c>
      <c r="E15" s="145">
        <v>46204</v>
      </c>
      <c r="F15" s="86">
        <v>3210001000</v>
      </c>
      <c r="G15" s="85" t="s">
        <v>120</v>
      </c>
      <c r="H15" s="86">
        <v>6</v>
      </c>
      <c r="I15" s="86" t="s">
        <v>121</v>
      </c>
      <c r="J15" s="86"/>
      <c r="K15" s="87"/>
      <c r="L15" s="86"/>
      <c r="M15" s="92">
        <v>635</v>
      </c>
    </row>
    <row r="16" spans="1:13">
      <c r="A16" s="143"/>
      <c r="B16" s="144">
        <v>23</v>
      </c>
      <c r="C16" s="144">
        <v>401</v>
      </c>
      <c r="D16" s="144" t="s">
        <v>115</v>
      </c>
      <c r="E16" s="145">
        <v>46204</v>
      </c>
      <c r="F16" s="86">
        <v>4202210000</v>
      </c>
      <c r="G16" s="85" t="s">
        <v>54</v>
      </c>
      <c r="H16" s="142">
        <v>274</v>
      </c>
      <c r="I16" s="86" t="s">
        <v>46</v>
      </c>
      <c r="J16" s="86"/>
      <c r="K16" s="87"/>
      <c r="L16" s="86"/>
      <c r="M16" s="92">
        <v>125507</v>
      </c>
    </row>
    <row r="17" spans="1:13">
      <c r="A17" s="143"/>
      <c r="B17" s="144">
        <v>23</v>
      </c>
      <c r="C17" s="144">
        <v>401</v>
      </c>
      <c r="D17" s="144" t="s">
        <v>115</v>
      </c>
      <c r="E17" s="145">
        <v>46204</v>
      </c>
      <c r="F17" s="86">
        <v>4107913000</v>
      </c>
      <c r="G17" s="85" t="s">
        <v>122</v>
      </c>
      <c r="H17" s="86">
        <v>10</v>
      </c>
      <c r="I17" s="86" t="s">
        <v>123</v>
      </c>
      <c r="J17" s="86"/>
      <c r="K17" s="87"/>
      <c r="L17" s="86"/>
      <c r="M17" s="92">
        <v>257</v>
      </c>
    </row>
    <row r="18" spans="1:13">
      <c r="A18" s="143"/>
      <c r="B18" s="144">
        <v>23</v>
      </c>
      <c r="C18" s="144">
        <v>401</v>
      </c>
      <c r="D18" s="144" t="s">
        <v>115</v>
      </c>
      <c r="E18" s="145">
        <v>46204</v>
      </c>
      <c r="F18" s="86">
        <v>4205009010</v>
      </c>
      <c r="G18" s="85" t="s">
        <v>124</v>
      </c>
      <c r="H18" s="86">
        <v>100</v>
      </c>
      <c r="I18" s="86" t="s">
        <v>46</v>
      </c>
      <c r="J18" s="86"/>
      <c r="K18" s="87"/>
      <c r="L18" s="86"/>
      <c r="M18" s="92">
        <v>858</v>
      </c>
    </row>
    <row r="19" spans="1:13">
      <c r="A19" s="143"/>
      <c r="B19" s="144">
        <v>23</v>
      </c>
      <c r="C19" s="144">
        <v>401</v>
      </c>
      <c r="D19" s="144" t="s">
        <v>115</v>
      </c>
      <c r="E19" s="145">
        <v>46204</v>
      </c>
      <c r="F19" s="86">
        <v>3919108000</v>
      </c>
      <c r="G19" s="85" t="s">
        <v>117</v>
      </c>
      <c r="H19" s="86">
        <v>8</v>
      </c>
      <c r="I19" s="86" t="s">
        <v>125</v>
      </c>
      <c r="J19" s="86"/>
      <c r="K19" s="87"/>
      <c r="L19" s="86"/>
      <c r="M19" s="92">
        <v>684</v>
      </c>
    </row>
    <row r="20" spans="1:13">
      <c r="A20" s="143"/>
      <c r="B20" s="144">
        <v>23</v>
      </c>
      <c r="C20" s="144">
        <v>401</v>
      </c>
      <c r="D20" s="144" t="s">
        <v>115</v>
      </c>
      <c r="E20" s="145">
        <v>46204</v>
      </c>
      <c r="F20" s="86">
        <v>6307909098</v>
      </c>
      <c r="G20" s="85" t="s">
        <v>126</v>
      </c>
      <c r="H20" s="86">
        <v>15</v>
      </c>
      <c r="I20" s="86" t="s">
        <v>125</v>
      </c>
      <c r="J20" s="86"/>
      <c r="K20" s="87"/>
      <c r="L20" s="86"/>
      <c r="M20" s="92">
        <v>1044</v>
      </c>
    </row>
    <row r="21" spans="1:13">
      <c r="A21" s="143"/>
      <c r="B21" s="144">
        <v>23</v>
      </c>
      <c r="C21" s="144">
        <v>401</v>
      </c>
      <c r="D21" s="144" t="s">
        <v>115</v>
      </c>
      <c r="E21" s="145">
        <v>46204</v>
      </c>
      <c r="F21" s="86">
        <v>4821100000</v>
      </c>
      <c r="G21" s="85" t="s">
        <v>127</v>
      </c>
      <c r="H21" s="86">
        <v>335</v>
      </c>
      <c r="I21" s="86" t="s">
        <v>46</v>
      </c>
      <c r="J21" s="86"/>
      <c r="K21" s="87"/>
      <c r="L21" s="86"/>
      <c r="M21" s="92">
        <v>492</v>
      </c>
    </row>
    <row r="22" spans="1:13">
      <c r="A22" s="143"/>
      <c r="B22" s="144">
        <v>23</v>
      </c>
      <c r="C22" s="144">
        <v>401</v>
      </c>
      <c r="D22" s="144" t="s">
        <v>115</v>
      </c>
      <c r="E22" s="145">
        <v>46204</v>
      </c>
      <c r="F22" s="86">
        <v>5807100000</v>
      </c>
      <c r="G22" s="85" t="s">
        <v>128</v>
      </c>
      <c r="H22" s="86">
        <v>215</v>
      </c>
      <c r="I22" s="86" t="s">
        <v>46</v>
      </c>
      <c r="J22" s="86"/>
      <c r="K22" s="87"/>
      <c r="L22" s="86"/>
      <c r="M22" s="92">
        <v>48</v>
      </c>
    </row>
    <row r="23" spans="1:13">
      <c r="A23" s="143"/>
      <c r="B23" s="144">
        <v>23</v>
      </c>
      <c r="C23" s="144">
        <v>401</v>
      </c>
      <c r="D23" s="144" t="s">
        <v>115</v>
      </c>
      <c r="E23" s="145">
        <v>46204</v>
      </c>
      <c r="F23" s="153">
        <v>4806100000</v>
      </c>
      <c r="G23" s="152" t="s">
        <v>129</v>
      </c>
      <c r="H23" s="153">
        <v>1000</v>
      </c>
      <c r="I23" s="153" t="s">
        <v>46</v>
      </c>
      <c r="J23" s="153"/>
      <c r="K23" s="154"/>
      <c r="L23" s="153"/>
      <c r="M23" s="155">
        <v>468</v>
      </c>
    </row>
    <row r="24" spans="1:13">
      <c r="A24" s="143"/>
      <c r="B24" s="144">
        <v>23</v>
      </c>
      <c r="C24" s="144">
        <v>401</v>
      </c>
      <c r="D24" s="144" t="s">
        <v>115</v>
      </c>
      <c r="E24" s="145">
        <v>46204</v>
      </c>
      <c r="F24" s="153">
        <v>6305399300</v>
      </c>
      <c r="G24" s="152" t="s">
        <v>130</v>
      </c>
      <c r="H24" s="153">
        <v>215</v>
      </c>
      <c r="I24" s="153" t="s">
        <v>46</v>
      </c>
      <c r="J24" s="153"/>
      <c r="K24" s="154"/>
      <c r="L24" s="153"/>
      <c r="M24" s="155">
        <v>5074</v>
      </c>
    </row>
    <row r="25" spans="1:13" ht="15" thickBot="1">
      <c r="A25" s="143"/>
      <c r="B25" s="144">
        <v>23</v>
      </c>
      <c r="C25" s="144">
        <v>401</v>
      </c>
      <c r="D25" s="144" t="s">
        <v>115</v>
      </c>
      <c r="E25" s="145">
        <v>46204</v>
      </c>
      <c r="F25" s="94">
        <v>3919108000</v>
      </c>
      <c r="G25" s="93" t="s">
        <v>131</v>
      </c>
      <c r="H25" s="94">
        <v>6</v>
      </c>
      <c r="I25" s="94" t="s">
        <v>46</v>
      </c>
      <c r="J25" s="94"/>
      <c r="K25" s="95"/>
      <c r="L25" s="94"/>
      <c r="M25" s="96">
        <v>161</v>
      </c>
    </row>
    <row r="26" spans="1:13" ht="15" thickBot="1">
      <c r="B26" s="15"/>
      <c r="C26" s="15"/>
      <c r="D26" s="15"/>
      <c r="E26" s="141"/>
    </row>
    <row r="27" spans="1:13" ht="15" thickBot="1">
      <c r="A27" s="110"/>
      <c r="B27" s="111">
        <v>23</v>
      </c>
      <c r="C27" s="111">
        <v>311</v>
      </c>
      <c r="D27" s="111" t="s">
        <v>114</v>
      </c>
      <c r="E27" s="112">
        <v>46141</v>
      </c>
      <c r="F27" s="149">
        <v>4819209080</v>
      </c>
      <c r="G27" s="111" t="s">
        <v>113</v>
      </c>
      <c r="H27" s="149">
        <v>406.54</v>
      </c>
      <c r="I27" s="149" t="s">
        <v>46</v>
      </c>
      <c r="J27" s="149"/>
      <c r="K27" s="150"/>
      <c r="L27" s="149"/>
      <c r="M27" s="151">
        <v>40781.464999999997</v>
      </c>
    </row>
    <row r="28" spans="1:13" ht="15" thickBot="1"/>
    <row r="29" spans="1:13" ht="15" thickBot="1">
      <c r="A29" s="110"/>
      <c r="B29" s="111">
        <v>23</v>
      </c>
      <c r="C29" s="111">
        <v>23</v>
      </c>
      <c r="D29" s="111" t="s">
        <v>132</v>
      </c>
      <c r="E29" s="112">
        <v>46212</v>
      </c>
      <c r="F29" s="149">
        <v>6305399300</v>
      </c>
      <c r="G29" s="111" t="s">
        <v>53</v>
      </c>
      <c r="H29" s="149">
        <v>472</v>
      </c>
      <c r="I29" s="149" t="s">
        <v>46</v>
      </c>
      <c r="J29" s="149"/>
      <c r="K29" s="150"/>
      <c r="L29" s="149"/>
      <c r="M29" s="151">
        <v>9467</v>
      </c>
    </row>
    <row r="31" spans="1:13">
      <c r="A31" s="143"/>
      <c r="B31" s="144">
        <v>23</v>
      </c>
      <c r="C31" s="144">
        <v>401</v>
      </c>
      <c r="D31" s="144" t="s">
        <v>133</v>
      </c>
      <c r="E31" s="145">
        <v>46188</v>
      </c>
      <c r="F31" s="86">
        <v>4202210000</v>
      </c>
      <c r="G31" s="85" t="s">
        <v>54</v>
      </c>
      <c r="H31" s="142">
        <v>191</v>
      </c>
      <c r="I31" s="86" t="s">
        <v>46</v>
      </c>
      <c r="J31" s="86"/>
      <c r="K31" s="87"/>
      <c r="L31" s="86"/>
      <c r="M31" s="92">
        <v>46481.15</v>
      </c>
    </row>
  </sheetData>
  <mergeCells count="2">
    <mergeCell ref="B1:E1"/>
    <mergeCell ref="F3:G3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0" sqref="D10"/>
    </sheetView>
  </sheetViews>
  <sheetFormatPr baseColWidth="10" defaultRowHeight="14.5"/>
  <cols>
    <col min="1" max="16384" width="10.9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Facture</vt:lpstr>
      <vt:lpstr>LISTE DE COL</vt:lpstr>
      <vt:lpstr>DECHARGES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2026-07-11T13:55:14Z</cp:lastPrinted>
  <dcterms:created xsi:type="dcterms:W3CDTF">2024-05-10T13:34:05Z</dcterms:created>
  <dcterms:modified xsi:type="dcterms:W3CDTF">2026-07-11T13:57:15Z</dcterms:modified>
</cp:coreProperties>
</file>