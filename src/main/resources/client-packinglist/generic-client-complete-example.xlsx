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documentos\PACKING\"/>
    </mc:Choice>
  </mc:AlternateContent>
  <bookViews>
    <workbookView xWindow="0" yWindow="0" windowWidth="28800" windowHeight="12135"/>
  </bookViews>
  <sheets>
    <sheet name="INV 250121" sheetId="3" r:id="rId1"/>
    <sheet name="INV 220031" sheetId="2" r:id="rId2"/>
    <sheet name="Hoja1" sheetId="1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3" l="1"/>
  <c r="I17" i="3" l="1"/>
  <c r="G25" i="3" l="1"/>
  <c r="I28" i="2" l="1"/>
  <c r="I30" i="2" s="1"/>
  <c r="G26" i="2"/>
  <c r="I40" i="1" l="1"/>
  <c r="I38" i="1"/>
  <c r="G36" i="1"/>
</calcChain>
</file>

<file path=xl/sharedStrings.xml><?xml version="1.0" encoding="utf-8"?>
<sst xmlns="http://schemas.openxmlformats.org/spreadsheetml/2006/main" count="138" uniqueCount="66">
  <si>
    <t xml:space="preserve">Tel: 34 93 442 51 35  </t>
  </si>
  <si>
    <t>Barcelona, Spain</t>
  </si>
  <si>
    <t xml:space="preserve"> </t>
  </si>
  <si>
    <t xml:space="preserve">           PACKING LIST / WEIGHT LIST</t>
  </si>
  <si>
    <t>CLIENT</t>
  </si>
  <si>
    <t>DESTINATION GOODS</t>
  </si>
  <si>
    <t>DATE / AMOUNT</t>
  </si>
  <si>
    <t>LIST OF BOXES</t>
  </si>
  <si>
    <t xml:space="preserve">  BOX NUM.</t>
  </si>
  <si>
    <t xml:space="preserve">           MODEL</t>
  </si>
  <si>
    <t>COLOUR</t>
  </si>
  <si>
    <t>WEIGHT in KGS.</t>
  </si>
  <si>
    <t>SIZE in CM.</t>
  </si>
  <si>
    <t>Kgs.</t>
  </si>
  <si>
    <t>TOTAL WEIGHT GROSS</t>
  </si>
  <si>
    <t>TOTAL WEIGHT NET</t>
  </si>
  <si>
    <t>ACKERMANN TASCHENMANUFAKTUR  H &amp; S OHG</t>
  </si>
  <si>
    <t>LUNEBURG</t>
  </si>
  <si>
    <t>60 x 40 x 40</t>
  </si>
  <si>
    <t>PUNTOTRES BAGS &amp; BELTS, S.L.</t>
  </si>
  <si>
    <t>C/Industria, 585 - 587</t>
  </si>
  <si>
    <t>8918 Badalona</t>
  </si>
  <si>
    <t>puntotres@puntotres.com</t>
  </si>
  <si>
    <t>POST S P07-L01</t>
  </si>
  <si>
    <t>POST S P07-L04</t>
  </si>
  <si>
    <t>POST M P01-L04</t>
  </si>
  <si>
    <t>POST M P01-L01</t>
  </si>
  <si>
    <t>UNITS - BRW BROWN</t>
  </si>
  <si>
    <t>UNITS - LZZ NOIR</t>
  </si>
  <si>
    <t>UNITS</t>
  </si>
  <si>
    <t>POST Q P03-L04</t>
  </si>
  <si>
    <t>HANDLE</t>
  </si>
  <si>
    <t>1 to 16</t>
  </si>
  <si>
    <t>SAMPLE</t>
  </si>
  <si>
    <t>C/Industria, 585 - 587,</t>
  </si>
  <si>
    <t>08918 Badalona,</t>
  </si>
  <si>
    <t>PACKING LIST / WEIGHT LIST</t>
  </si>
  <si>
    <t xml:space="preserve">DESTINATION </t>
  </si>
  <si>
    <t>SHIPMENT DETAILS</t>
  </si>
  <si>
    <t xml:space="preserve">TOTAL WEIGHT  </t>
  </si>
  <si>
    <t xml:space="preserve">DATE </t>
  </si>
  <si>
    <t>TOTAL GROSS WEIGHT</t>
  </si>
  <si>
    <t xml:space="preserve">TOTAL VOLUME </t>
  </si>
  <si>
    <t>TOTAL CARTONS</t>
  </si>
  <si>
    <t xml:space="preserve">INVOICE </t>
  </si>
  <si>
    <t>REFERENCE</t>
  </si>
  <si>
    <t xml:space="preserve"> MODEL</t>
  </si>
  <si>
    <t>SEASON</t>
  </si>
  <si>
    <t>TOTAL</t>
  </si>
  <si>
    <t>ACKERMANN TASCHENMANUFAKTUR H &amp; S OHG</t>
  </si>
  <si>
    <t>1 - 16</t>
  </si>
  <si>
    <t>SPRING 25</t>
  </si>
  <si>
    <t>BROWN</t>
  </si>
  <si>
    <t>60X40X40 cm</t>
  </si>
  <si>
    <t>PALET 1</t>
  </si>
  <si>
    <t>A204</t>
  </si>
  <si>
    <t>BRIEFCASE POST Q PO3</t>
  </si>
  <si>
    <t>CARTON DIMENTIONS</t>
  </si>
  <si>
    <t>TOTAL GROSS VOLUME</t>
  </si>
  <si>
    <t>Goseburgstraße 27, 21339 Lüneburg, Germany</t>
  </si>
  <si>
    <r>
      <t>1,63m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</si>
  <si>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1,54m</t>
    </r>
    <r>
      <rPr>
        <vertAlign val="superscript"/>
        <sz val="11"/>
        <color theme="1"/>
        <rFont val="Calibri"/>
        <family val="2"/>
        <scheme val="minor"/>
      </rPr>
      <t>3</t>
    </r>
  </si>
  <si>
    <t>ACKERMANN HOHMANN UND SEDLACEK OHG</t>
  </si>
  <si>
    <t>80X120X170 cm</t>
  </si>
  <si>
    <t>161,28 Kg</t>
  </si>
  <si>
    <t>171,28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</si>
</sst>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7">
    <xf numFmtId="0" fontId="0" fillId="0" borderId="0" xfId="0"/>
    <xf numFmtId="0" fontId="1" fillId="0" borderId="0" xfId="0" applyFont="1"/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0" fontId="3" fillId="0" borderId="0" xfId="0" applyFont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1" xfId="0" applyBorder="1"/>
    <xf numFmtId="14" fontId="0" fillId="0" borderId="3" xfId="0" applyNumberFormat="1" applyBorder="1" applyAlignment="1">
      <alignment horizontal="left"/>
    </xf>
    <xf numFmtId="0" fontId="0" fillId="0" borderId="4" xfId="0" applyBorder="1"/>
    <xf numFmtId="4" fontId="0" fillId="0" borderId="2" xfId="0" applyNumberFormat="1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4" fillId="0" borderId="6" xfId="0" applyFont="1" applyBorder="1"/>
    <xf numFmtId="0" fontId="0" fillId="0" borderId="7" xfId="0" applyBorder="1" applyAlignment="1">
      <alignment horizontal="center"/>
    </xf>
    <xf numFmtId="0" fontId="4" fillId="0" borderId="5" xfId="0" applyFont="1" applyBorder="1"/>
    <xf numFmtId="0" fontId="0" fillId="0" borderId="8" xfId="0" applyBorder="1"/>
    <xf numFmtId="0" fontId="0" fillId="0" borderId="9" xfId="0" applyBorder="1"/>
    <xf numFmtId="0" fontId="5" fillId="0" borderId="9" xfId="0" applyFont="1" applyBorder="1"/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0" xfId="0" applyFill="1" applyBorder="1"/>
    <xf numFmtId="0" fontId="0" fillId="0" borderId="10" xfId="0" quotePrefix="1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left"/>
    </xf>
    <xf numFmtId="0" fontId="0" fillId="0" borderId="0" xfId="0" quotePrefix="1" applyBorder="1" applyAlignment="1">
      <alignment horizontal="left"/>
    </xf>
    <xf numFmtId="0" fontId="0" fillId="0" borderId="0" xfId="0" applyBorder="1" applyAlignment="1">
      <alignment horizontal="left"/>
    </xf>
    <xf numFmtId="0" fontId="6" fillId="0" borderId="0" xfId="1"/>
    <xf numFmtId="1" fontId="0" fillId="0" borderId="9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7" fillId="0" borderId="2" xfId="0" applyNumberFormat="1" applyFont="1" applyBorder="1" applyAlignment="1">
      <alignment horizontal="center"/>
    </xf>
    <xf numFmtId="2" fontId="5" fillId="0" borderId="9" xfId="0" applyNumberFormat="1" applyFont="1" applyBorder="1"/>
    <xf numFmtId="0" fontId="0" fillId="0" borderId="0" xfId="0" applyFont="1"/>
    <xf numFmtId="0" fontId="8" fillId="0" borderId="5" xfId="0" applyFont="1" applyBorder="1"/>
    <xf numFmtId="0" fontId="8" fillId="0" borderId="7" xfId="0" applyFont="1" applyBorder="1"/>
    <xf numFmtId="0" fontId="0" fillId="0" borderId="9" xfId="0" applyFont="1" applyBorder="1" applyAlignment="1">
      <alignment vertical="center"/>
    </xf>
    <xf numFmtId="0" fontId="0" fillId="0" borderId="4" xfId="0" applyFont="1" applyBorder="1"/>
    <xf numFmtId="0" fontId="0" fillId="0" borderId="9" xfId="0" applyFont="1" applyBorder="1"/>
    <xf numFmtId="0" fontId="0" fillId="0" borderId="9" xfId="0" quotePrefix="1" applyFont="1" applyBorder="1" applyAlignment="1">
      <alignment horizontal="left"/>
    </xf>
    <xf numFmtId="0" fontId="6" fillId="0" borderId="11" xfId="1" applyFont="1" applyBorder="1"/>
    <xf numFmtId="0" fontId="0" fillId="0" borderId="14" xfId="0" applyFont="1" applyBorder="1"/>
    <xf numFmtId="0" fontId="8" fillId="0" borderId="0" xfId="0" applyFont="1"/>
    <xf numFmtId="0" fontId="0" fillId="0" borderId="3" xfId="0" applyFont="1" applyBorder="1"/>
    <xf numFmtId="0" fontId="0" fillId="0" borderId="0" xfId="0" applyFont="1" applyBorder="1"/>
    <xf numFmtId="0" fontId="0" fillId="0" borderId="15" xfId="0" applyFont="1" applyBorder="1"/>
    <xf numFmtId="0" fontId="0" fillId="0" borderId="2" xfId="0" applyFont="1" applyBorder="1"/>
    <xf numFmtId="0" fontId="10" fillId="0" borderId="8" xfId="0" applyFont="1" applyFill="1" applyBorder="1" applyAlignment="1">
      <alignment vertical="center"/>
    </xf>
    <xf numFmtId="0" fontId="0" fillId="0" borderId="8" xfId="0" applyFont="1" applyBorder="1" applyAlignment="1">
      <alignment horizontal="right" vertical="center"/>
    </xf>
    <xf numFmtId="14" fontId="0" fillId="0" borderId="3" xfId="0" applyNumberFormat="1" applyFont="1" applyBorder="1" applyAlignment="1">
      <alignment horizontal="left"/>
    </xf>
    <xf numFmtId="14" fontId="0" fillId="0" borderId="0" xfId="0" applyNumberFormat="1" applyFont="1" applyBorder="1" applyAlignment="1">
      <alignment horizontal="left"/>
    </xf>
    <xf numFmtId="0" fontId="10" fillId="0" borderId="13" xfId="0" applyFont="1" applyFill="1" applyBorder="1" applyAlignment="1">
      <alignment vertical="center"/>
    </xf>
    <xf numFmtId="0" fontId="0" fillId="0" borderId="13" xfId="0" applyFont="1" applyBorder="1" applyAlignment="1">
      <alignment horizontal="right" vertical="center"/>
    </xf>
    <xf numFmtId="14" fontId="0" fillId="0" borderId="0" xfId="0" applyNumberFormat="1" applyFont="1" applyAlignment="1">
      <alignment horizontal="left"/>
    </xf>
    <xf numFmtId="0" fontId="10" fillId="0" borderId="3" xfId="0" applyFont="1" applyFill="1" applyBorder="1" applyAlignment="1">
      <alignment vertical="center"/>
    </xf>
    <xf numFmtId="2" fontId="0" fillId="0" borderId="3" xfId="0" applyNumberFormat="1" applyFont="1" applyBorder="1" applyAlignment="1">
      <alignment horizontal="right" vertical="center"/>
    </xf>
    <xf numFmtId="0" fontId="10" fillId="0" borderId="10" xfId="0" applyFont="1" applyFill="1" applyBorder="1" applyAlignment="1">
      <alignment vertical="center"/>
    </xf>
    <xf numFmtId="0" fontId="0" fillId="0" borderId="10" xfId="0" applyFont="1" applyBorder="1" applyAlignment="1">
      <alignment horizontal="right" vertical="center"/>
    </xf>
    <xf numFmtId="49" fontId="0" fillId="0" borderId="0" xfId="0" applyNumberFormat="1" applyFont="1" applyBorder="1" applyAlignment="1">
      <alignment horizontal="left"/>
    </xf>
    <xf numFmtId="0" fontId="0" fillId="0" borderId="3" xfId="0" applyNumberFormat="1" applyFont="1" applyBorder="1" applyAlignment="1">
      <alignment horizontal="left"/>
    </xf>
    <xf numFmtId="0" fontId="7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" fontId="0" fillId="0" borderId="3" xfId="0" applyNumberFormat="1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7" fillId="2" borderId="1" xfId="0" applyFont="1" applyFill="1" applyBorder="1"/>
    <xf numFmtId="0" fontId="0" fillId="2" borderId="15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7" fillId="0" borderId="1" xfId="0" applyFont="1" applyBorder="1" applyAlignment="1">
      <alignment horizontal="left"/>
    </xf>
    <xf numFmtId="49" fontId="0" fillId="0" borderId="3" xfId="0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3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1" fillId="0" borderId="15" xfId="0" applyFont="1" applyBorder="1"/>
    <xf numFmtId="0" fontId="9" fillId="0" borderId="0" xfId="0" quotePrefix="1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151086</xdr:colOff>
      <xdr:row>1</xdr:row>
      <xdr:rowOff>39414</xdr:rowOff>
    </xdr:from>
    <xdr:to>
      <xdr:col>3</xdr:col>
      <xdr:colOff>25290</xdr:colOff>
      <xdr:row>7</xdr:row>
      <xdr:rowOff>82441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511" y="210864"/>
          <a:ext cx="1769679" cy="11860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</xdr:rowOff>
    </xdr:from>
    <xdr:to>
      <xdr:col>5</xdr:col>
      <xdr:colOff>609600</xdr:colOff>
      <xdr:row>5</xdr:row>
      <xdr:rowOff>188948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"/>
          <a:ext cx="1419225" cy="9604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0</xdr:rowOff>
    </xdr:from>
    <xdr:to>
      <xdr:col>6</xdr:col>
      <xdr:colOff>133350</xdr:colOff>
      <xdr:row>3</xdr:row>
      <xdr:rowOff>342900</xdr:rowOff>
    </xdr:to>
    <xdr:pic>
      <xdr:nvPicPr>
        <xdr:cNvPr id="2" name="Picture 1" descr="LOGO puntotre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7625"/>
          <a:ext cx="18859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untotres@puntotres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puntotres@puntotres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puntotres@puntotr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25"/>
  <sheetViews>
    <sheetView tabSelected="1" workbookViewId="0">
      <selection activeCell="C10" sqref="C10"/>
    </sheetView>
  </sheetViews>
  <sheetFormatPr baseColWidth="10" defaultRowHeight="15" x14ac:dyDescent="0.25"/>
  <cols>
    <col min="1" max="1" width="1.5703125" customWidth="1"/>
    <col min="2" max="2" width="13.5703125" customWidth="1"/>
    <col min="3" max="3" width="14.85546875" customWidth="1"/>
    <col min="4" max="4" width="29.42578125" customWidth="1"/>
    <col min="5" max="5" width="10.85546875" customWidth="1"/>
    <col min="6" max="6" width="10.28515625" customWidth="1"/>
    <col min="7" max="7" width="8.28515625" customWidth="1"/>
    <col min="8" max="8" width="20.85546875" customWidth="1"/>
    <col min="9" max="9" width="14.140625" bestFit="1" customWidth="1"/>
  </cols>
  <sheetData>
    <row r="1" spans="2:9" x14ac:dyDescent="0.25">
      <c r="B1" s="34"/>
      <c r="C1" s="34"/>
      <c r="D1" s="34"/>
      <c r="E1" s="34"/>
      <c r="F1" s="34"/>
      <c r="G1" s="34"/>
      <c r="H1" s="34"/>
      <c r="I1" s="34"/>
    </row>
    <row r="2" spans="2:9" x14ac:dyDescent="0.25">
      <c r="B2" s="34"/>
      <c r="C2" s="34"/>
      <c r="D2" s="34"/>
      <c r="E2" s="34"/>
      <c r="F2" s="34"/>
      <c r="G2" s="34"/>
      <c r="H2" s="35" t="s">
        <v>19</v>
      </c>
      <c r="I2" s="36"/>
    </row>
    <row r="3" spans="2:9" x14ac:dyDescent="0.25">
      <c r="B3" s="34"/>
      <c r="C3" s="34"/>
      <c r="D3" s="34"/>
      <c r="E3" s="34"/>
      <c r="F3" s="34"/>
      <c r="G3" s="34"/>
      <c r="H3" s="37" t="s">
        <v>34</v>
      </c>
      <c r="I3" s="38"/>
    </row>
    <row r="4" spans="2:9" x14ac:dyDescent="0.25">
      <c r="B4" s="34"/>
      <c r="C4" s="34"/>
      <c r="D4" s="34"/>
      <c r="E4" s="34"/>
      <c r="F4" s="34"/>
      <c r="G4" s="34"/>
      <c r="H4" s="39" t="s">
        <v>35</v>
      </c>
      <c r="I4" s="38"/>
    </row>
    <row r="5" spans="2:9" x14ac:dyDescent="0.25">
      <c r="B5" s="34"/>
      <c r="C5" s="34"/>
      <c r="D5" s="34"/>
      <c r="E5" s="34"/>
      <c r="F5" s="34"/>
      <c r="G5" s="34"/>
      <c r="H5" s="39" t="s">
        <v>1</v>
      </c>
      <c r="I5" s="38"/>
    </row>
    <row r="6" spans="2:9" x14ac:dyDescent="0.25">
      <c r="B6" s="34"/>
      <c r="C6" s="34"/>
      <c r="D6" s="34"/>
      <c r="E6" s="34"/>
      <c r="F6" s="34"/>
      <c r="G6" s="34"/>
      <c r="H6" s="40" t="s">
        <v>0</v>
      </c>
      <c r="I6" s="38"/>
    </row>
    <row r="7" spans="2:9" x14ac:dyDescent="0.25">
      <c r="B7" s="34"/>
      <c r="C7" s="34"/>
      <c r="D7" s="34"/>
      <c r="E7" s="34"/>
      <c r="F7" s="34"/>
      <c r="G7" s="34"/>
      <c r="H7" s="41" t="s">
        <v>22</v>
      </c>
      <c r="I7" s="42"/>
    </row>
    <row r="8" spans="2:9" ht="21" x14ac:dyDescent="0.35">
      <c r="B8" s="34" t="s">
        <v>2</v>
      </c>
      <c r="C8" s="34"/>
      <c r="D8" s="80" t="s">
        <v>36</v>
      </c>
      <c r="E8" s="80"/>
      <c r="F8" s="80"/>
      <c r="G8" s="34"/>
      <c r="H8" s="34"/>
      <c r="I8" s="34"/>
    </row>
    <row r="9" spans="2:9" x14ac:dyDescent="0.25">
      <c r="B9" s="34"/>
      <c r="C9" s="34"/>
      <c r="D9" s="43"/>
      <c r="E9" s="43"/>
      <c r="F9" s="34"/>
      <c r="G9" s="34"/>
      <c r="H9" s="34"/>
      <c r="I9" s="34"/>
    </row>
    <row r="10" spans="2:9" x14ac:dyDescent="0.25">
      <c r="B10" s="72" t="s">
        <v>4</v>
      </c>
      <c r="C10" s="73" t="s">
        <v>62</v>
      </c>
      <c r="D10" s="47"/>
      <c r="E10" s="34"/>
      <c r="F10" s="34"/>
      <c r="G10" s="45"/>
      <c r="H10" s="45"/>
      <c r="I10" s="45"/>
    </row>
    <row r="11" spans="2:9" x14ac:dyDescent="0.25">
      <c r="B11" s="34"/>
      <c r="C11" s="34"/>
      <c r="D11" s="34"/>
      <c r="E11" s="34"/>
      <c r="F11" s="45"/>
      <c r="G11" s="45"/>
      <c r="H11" s="81" t="s">
        <v>38</v>
      </c>
      <c r="I11" s="82"/>
    </row>
    <row r="12" spans="2:9" ht="15.75" x14ac:dyDescent="0.25">
      <c r="B12" s="44" t="s">
        <v>37</v>
      </c>
      <c r="C12" s="79" t="s">
        <v>59</v>
      </c>
      <c r="D12" s="46"/>
      <c r="E12" s="46"/>
      <c r="F12" s="47"/>
      <c r="G12" s="45"/>
      <c r="H12" s="48" t="s">
        <v>39</v>
      </c>
      <c r="I12" s="49" t="s">
        <v>64</v>
      </c>
    </row>
    <row r="13" spans="2:9" x14ac:dyDescent="0.25">
      <c r="B13" s="34"/>
      <c r="C13" s="34"/>
      <c r="D13" s="34"/>
      <c r="E13" s="34"/>
      <c r="F13" s="45"/>
      <c r="G13" s="45"/>
      <c r="H13" s="52" t="s">
        <v>41</v>
      </c>
      <c r="I13" s="53" t="s">
        <v>65</v>
      </c>
    </row>
    <row r="14" spans="2:9" ht="17.25" x14ac:dyDescent="0.25">
      <c r="B14" s="44" t="s">
        <v>40</v>
      </c>
      <c r="C14" s="50">
        <v>45782</v>
      </c>
      <c r="D14" s="34"/>
      <c r="E14" s="34"/>
      <c r="F14" s="51"/>
      <c r="G14" s="45"/>
      <c r="H14" s="55" t="s">
        <v>42</v>
      </c>
      <c r="I14" s="56" t="s">
        <v>61</v>
      </c>
    </row>
    <row r="15" spans="2:9" ht="17.25" x14ac:dyDescent="0.25">
      <c r="B15" s="34"/>
      <c r="C15" s="54"/>
      <c r="D15" s="34"/>
      <c r="E15" s="34"/>
      <c r="F15" s="51"/>
      <c r="G15" s="45"/>
      <c r="H15" s="57" t="s">
        <v>58</v>
      </c>
      <c r="I15" s="56" t="s">
        <v>60</v>
      </c>
    </row>
    <row r="16" spans="2:9" x14ac:dyDescent="0.25">
      <c r="B16" s="44" t="s">
        <v>44</v>
      </c>
      <c r="C16" s="60">
        <v>250121</v>
      </c>
      <c r="D16" s="59"/>
      <c r="E16" s="34"/>
      <c r="F16" s="51"/>
      <c r="G16" s="45"/>
      <c r="H16" s="57" t="s">
        <v>43</v>
      </c>
      <c r="I16" s="58">
        <v>16</v>
      </c>
    </row>
    <row r="17" spans="2:9" x14ac:dyDescent="0.25">
      <c r="B17" s="34"/>
      <c r="C17" s="34"/>
      <c r="D17" s="34"/>
      <c r="E17" s="34"/>
      <c r="F17" s="45"/>
      <c r="G17" s="45"/>
      <c r="H17" s="52" t="s">
        <v>57</v>
      </c>
      <c r="I17" s="53" t="str">
        <f>I23</f>
        <v>60X40X40 cm</v>
      </c>
    </row>
    <row r="18" spans="2:9" x14ac:dyDescent="0.25">
      <c r="B18" s="34"/>
      <c r="C18" s="34"/>
      <c r="D18" s="34"/>
      <c r="E18" s="34"/>
      <c r="F18" s="34"/>
      <c r="G18" s="34"/>
      <c r="H18" s="34"/>
      <c r="I18" s="34"/>
    </row>
    <row r="19" spans="2:9" x14ac:dyDescent="0.25">
      <c r="B19" s="61" t="s">
        <v>8</v>
      </c>
      <c r="C19" s="61" t="s">
        <v>45</v>
      </c>
      <c r="D19" s="61" t="s">
        <v>46</v>
      </c>
      <c r="E19" s="61" t="s">
        <v>47</v>
      </c>
      <c r="F19" s="61" t="s">
        <v>10</v>
      </c>
      <c r="G19" s="61" t="s">
        <v>29</v>
      </c>
      <c r="H19" s="62" t="s">
        <v>11</v>
      </c>
      <c r="I19" s="61" t="s">
        <v>12</v>
      </c>
    </row>
    <row r="20" spans="2:9" x14ac:dyDescent="0.25">
      <c r="B20" s="63"/>
      <c r="C20" s="63"/>
      <c r="D20" s="63"/>
      <c r="E20" s="63"/>
      <c r="F20" s="63"/>
      <c r="G20" s="63"/>
      <c r="H20" s="64"/>
      <c r="I20" s="63"/>
    </row>
    <row r="21" spans="2:9" x14ac:dyDescent="0.25">
      <c r="B21" s="77" t="s">
        <v>54</v>
      </c>
      <c r="C21" s="68"/>
      <c r="D21" s="68"/>
      <c r="E21" s="68"/>
      <c r="F21" s="68"/>
      <c r="G21" s="68"/>
      <c r="H21" s="78">
        <v>10</v>
      </c>
      <c r="I21" s="68" t="s">
        <v>63</v>
      </c>
    </row>
    <row r="22" spans="2:9" x14ac:dyDescent="0.25">
      <c r="B22" s="68"/>
      <c r="C22" s="68"/>
      <c r="D22" s="68"/>
      <c r="E22" s="68"/>
      <c r="F22" s="68"/>
      <c r="G22" s="68"/>
      <c r="H22" s="78"/>
      <c r="I22" s="68"/>
    </row>
    <row r="23" spans="2:9" x14ac:dyDescent="0.25">
      <c r="B23" s="74" t="s">
        <v>50</v>
      </c>
      <c r="C23" s="65" t="s">
        <v>55</v>
      </c>
      <c r="D23" s="66" t="s">
        <v>56</v>
      </c>
      <c r="E23" s="66" t="s">
        <v>51</v>
      </c>
      <c r="F23" s="66" t="s">
        <v>52</v>
      </c>
      <c r="G23" s="67">
        <v>80</v>
      </c>
      <c r="H23" s="75">
        <v>10.08</v>
      </c>
      <c r="I23" s="76" t="s">
        <v>53</v>
      </c>
    </row>
    <row r="24" spans="2:9" x14ac:dyDescent="0.25">
      <c r="B24" s="34"/>
      <c r="C24" s="34"/>
      <c r="D24" s="34"/>
      <c r="E24" s="34"/>
      <c r="F24" s="34"/>
      <c r="G24" s="34"/>
      <c r="H24" s="34"/>
      <c r="I24" s="34"/>
    </row>
    <row r="25" spans="2:9" x14ac:dyDescent="0.25">
      <c r="B25" s="69" t="s">
        <v>48</v>
      </c>
      <c r="C25" s="70"/>
      <c r="D25" s="70"/>
      <c r="E25" s="70"/>
      <c r="F25" s="70"/>
      <c r="G25" s="61">
        <f>SUM(G23:G23)</f>
        <v>80</v>
      </c>
      <c r="H25" s="61">
        <f>(H23*16)+H21</f>
        <v>171.28</v>
      </c>
      <c r="I25" s="71"/>
    </row>
  </sheetData>
  <mergeCells count="2">
    <mergeCell ref="D8:F8"/>
    <mergeCell ref="H11:I11"/>
  </mergeCells>
  <hyperlinks>
    <hyperlink ref="H7" r:id="rId1"/>
  </hyperlinks>
  <pageMargins left="0.15748031496062992" right="0.15748031496062992" top="0.15748031496062992" bottom="0.15748031496062992" header="0.31496062992125984" footer="0.31496062992125984"/>
  <pageSetup paperSize="9" scale="8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36"/>
  <sheetViews>
    <sheetView workbookViewId="0">
      <selection activeCell="G39" sqref="G39"/>
    </sheetView>
  </sheetViews>
  <sheetFormatPr baseColWidth="10" defaultRowHeight="15" x14ac:dyDescent="0.25"/>
  <cols>
    <col min="1" max="2" width="0.140625" customWidth="1"/>
    <col min="3" max="3" width="1.140625" customWidth="1"/>
    <col min="4" max="4" width="6.7109375" customWidth="1"/>
    <col min="5" max="5" width="5.42578125" customWidth="1"/>
    <col min="6" max="6" width="14.42578125" customWidth="1"/>
    <col min="7" max="7" width="6.140625" customWidth="1"/>
    <col min="8" max="8" width="32.5703125" customWidth="1"/>
    <col min="9" max="9" width="6.85546875" customWidth="1"/>
    <col min="10" max="10" width="7" customWidth="1"/>
    <col min="11" max="11" width="15" customWidth="1"/>
    <col min="12" max="12" width="10" customWidth="1"/>
    <col min="257" max="258" width="0.140625" customWidth="1"/>
    <col min="259" max="259" width="1.140625" customWidth="1"/>
    <col min="260" max="260" width="6.7109375" customWidth="1"/>
    <col min="261" max="261" width="5.42578125" customWidth="1"/>
    <col min="262" max="262" width="14.42578125" customWidth="1"/>
    <col min="263" max="263" width="6.140625" customWidth="1"/>
    <col min="264" max="264" width="32.5703125" customWidth="1"/>
    <col min="265" max="265" width="6.85546875" customWidth="1"/>
    <col min="266" max="266" width="7" customWidth="1"/>
    <col min="267" max="267" width="15" customWidth="1"/>
    <col min="268" max="268" width="10" customWidth="1"/>
    <col min="513" max="514" width="0.140625" customWidth="1"/>
    <col min="515" max="515" width="1.140625" customWidth="1"/>
    <col min="516" max="516" width="6.7109375" customWidth="1"/>
    <col min="517" max="517" width="5.42578125" customWidth="1"/>
    <col min="518" max="518" width="14.42578125" customWidth="1"/>
    <col min="519" max="519" width="6.140625" customWidth="1"/>
    <col min="520" max="520" width="32.5703125" customWidth="1"/>
    <col min="521" max="521" width="6.85546875" customWidth="1"/>
    <col min="522" max="522" width="7" customWidth="1"/>
    <col min="523" max="523" width="15" customWidth="1"/>
    <col min="524" max="524" width="10" customWidth="1"/>
    <col min="769" max="770" width="0.140625" customWidth="1"/>
    <col min="771" max="771" width="1.140625" customWidth="1"/>
    <col min="772" max="772" width="6.7109375" customWidth="1"/>
    <col min="773" max="773" width="5.42578125" customWidth="1"/>
    <col min="774" max="774" width="14.42578125" customWidth="1"/>
    <col min="775" max="775" width="6.140625" customWidth="1"/>
    <col min="776" max="776" width="32.5703125" customWidth="1"/>
    <col min="777" max="777" width="6.85546875" customWidth="1"/>
    <col min="778" max="778" width="7" customWidth="1"/>
    <col min="779" max="779" width="15" customWidth="1"/>
    <col min="780" max="780" width="10" customWidth="1"/>
    <col min="1025" max="1026" width="0.140625" customWidth="1"/>
    <col min="1027" max="1027" width="1.140625" customWidth="1"/>
    <col min="1028" max="1028" width="6.7109375" customWidth="1"/>
    <col min="1029" max="1029" width="5.42578125" customWidth="1"/>
    <col min="1030" max="1030" width="14.42578125" customWidth="1"/>
    <col min="1031" max="1031" width="6.140625" customWidth="1"/>
    <col min="1032" max="1032" width="32.5703125" customWidth="1"/>
    <col min="1033" max="1033" width="6.85546875" customWidth="1"/>
    <col min="1034" max="1034" width="7" customWidth="1"/>
    <col min="1035" max="1035" width="15" customWidth="1"/>
    <col min="1036" max="1036" width="10" customWidth="1"/>
    <col min="1281" max="1282" width="0.140625" customWidth="1"/>
    <col min="1283" max="1283" width="1.140625" customWidth="1"/>
    <col min="1284" max="1284" width="6.7109375" customWidth="1"/>
    <col min="1285" max="1285" width="5.42578125" customWidth="1"/>
    <col min="1286" max="1286" width="14.42578125" customWidth="1"/>
    <col min="1287" max="1287" width="6.140625" customWidth="1"/>
    <col min="1288" max="1288" width="32.5703125" customWidth="1"/>
    <col min="1289" max="1289" width="6.85546875" customWidth="1"/>
    <col min="1290" max="1290" width="7" customWidth="1"/>
    <col min="1291" max="1291" width="15" customWidth="1"/>
    <col min="1292" max="1292" width="10" customWidth="1"/>
    <col min="1537" max="1538" width="0.140625" customWidth="1"/>
    <col min="1539" max="1539" width="1.140625" customWidth="1"/>
    <col min="1540" max="1540" width="6.7109375" customWidth="1"/>
    <col min="1541" max="1541" width="5.42578125" customWidth="1"/>
    <col min="1542" max="1542" width="14.42578125" customWidth="1"/>
    <col min="1543" max="1543" width="6.140625" customWidth="1"/>
    <col min="1544" max="1544" width="32.5703125" customWidth="1"/>
    <col min="1545" max="1545" width="6.85546875" customWidth="1"/>
    <col min="1546" max="1546" width="7" customWidth="1"/>
    <col min="1547" max="1547" width="15" customWidth="1"/>
    <col min="1548" max="1548" width="10" customWidth="1"/>
    <col min="1793" max="1794" width="0.140625" customWidth="1"/>
    <col min="1795" max="1795" width="1.140625" customWidth="1"/>
    <col min="1796" max="1796" width="6.7109375" customWidth="1"/>
    <col min="1797" max="1797" width="5.42578125" customWidth="1"/>
    <col min="1798" max="1798" width="14.42578125" customWidth="1"/>
    <col min="1799" max="1799" width="6.140625" customWidth="1"/>
    <col min="1800" max="1800" width="32.5703125" customWidth="1"/>
    <col min="1801" max="1801" width="6.85546875" customWidth="1"/>
    <col min="1802" max="1802" width="7" customWidth="1"/>
    <col min="1803" max="1803" width="15" customWidth="1"/>
    <col min="1804" max="1804" width="10" customWidth="1"/>
    <col min="2049" max="2050" width="0.140625" customWidth="1"/>
    <col min="2051" max="2051" width="1.140625" customWidth="1"/>
    <col min="2052" max="2052" width="6.7109375" customWidth="1"/>
    <col min="2053" max="2053" width="5.42578125" customWidth="1"/>
    <col min="2054" max="2054" width="14.42578125" customWidth="1"/>
    <col min="2055" max="2055" width="6.140625" customWidth="1"/>
    <col min="2056" max="2056" width="32.5703125" customWidth="1"/>
    <col min="2057" max="2057" width="6.85546875" customWidth="1"/>
    <col min="2058" max="2058" width="7" customWidth="1"/>
    <col min="2059" max="2059" width="15" customWidth="1"/>
    <col min="2060" max="2060" width="10" customWidth="1"/>
    <col min="2305" max="2306" width="0.140625" customWidth="1"/>
    <col min="2307" max="2307" width="1.140625" customWidth="1"/>
    <col min="2308" max="2308" width="6.7109375" customWidth="1"/>
    <col min="2309" max="2309" width="5.42578125" customWidth="1"/>
    <col min="2310" max="2310" width="14.42578125" customWidth="1"/>
    <col min="2311" max="2311" width="6.140625" customWidth="1"/>
    <col min="2312" max="2312" width="32.5703125" customWidth="1"/>
    <col min="2313" max="2313" width="6.85546875" customWidth="1"/>
    <col min="2314" max="2314" width="7" customWidth="1"/>
    <col min="2315" max="2315" width="15" customWidth="1"/>
    <col min="2316" max="2316" width="10" customWidth="1"/>
    <col min="2561" max="2562" width="0.140625" customWidth="1"/>
    <col min="2563" max="2563" width="1.140625" customWidth="1"/>
    <col min="2564" max="2564" width="6.7109375" customWidth="1"/>
    <col min="2565" max="2565" width="5.42578125" customWidth="1"/>
    <col min="2566" max="2566" width="14.42578125" customWidth="1"/>
    <col min="2567" max="2567" width="6.140625" customWidth="1"/>
    <col min="2568" max="2568" width="32.5703125" customWidth="1"/>
    <col min="2569" max="2569" width="6.85546875" customWidth="1"/>
    <col min="2570" max="2570" width="7" customWidth="1"/>
    <col min="2571" max="2571" width="15" customWidth="1"/>
    <col min="2572" max="2572" width="10" customWidth="1"/>
    <col min="2817" max="2818" width="0.140625" customWidth="1"/>
    <col min="2819" max="2819" width="1.140625" customWidth="1"/>
    <col min="2820" max="2820" width="6.7109375" customWidth="1"/>
    <col min="2821" max="2821" width="5.42578125" customWidth="1"/>
    <col min="2822" max="2822" width="14.42578125" customWidth="1"/>
    <col min="2823" max="2823" width="6.140625" customWidth="1"/>
    <col min="2824" max="2824" width="32.5703125" customWidth="1"/>
    <col min="2825" max="2825" width="6.85546875" customWidth="1"/>
    <col min="2826" max="2826" width="7" customWidth="1"/>
    <col min="2827" max="2827" width="15" customWidth="1"/>
    <col min="2828" max="2828" width="10" customWidth="1"/>
    <col min="3073" max="3074" width="0.140625" customWidth="1"/>
    <col min="3075" max="3075" width="1.140625" customWidth="1"/>
    <col min="3076" max="3076" width="6.7109375" customWidth="1"/>
    <col min="3077" max="3077" width="5.42578125" customWidth="1"/>
    <col min="3078" max="3078" width="14.42578125" customWidth="1"/>
    <col min="3079" max="3079" width="6.140625" customWidth="1"/>
    <col min="3080" max="3080" width="32.5703125" customWidth="1"/>
    <col min="3081" max="3081" width="6.85546875" customWidth="1"/>
    <col min="3082" max="3082" width="7" customWidth="1"/>
    <col min="3083" max="3083" width="15" customWidth="1"/>
    <col min="3084" max="3084" width="10" customWidth="1"/>
    <col min="3329" max="3330" width="0.140625" customWidth="1"/>
    <col min="3331" max="3331" width="1.140625" customWidth="1"/>
    <col min="3332" max="3332" width="6.7109375" customWidth="1"/>
    <col min="3333" max="3333" width="5.42578125" customWidth="1"/>
    <col min="3334" max="3334" width="14.42578125" customWidth="1"/>
    <col min="3335" max="3335" width="6.140625" customWidth="1"/>
    <col min="3336" max="3336" width="32.5703125" customWidth="1"/>
    <col min="3337" max="3337" width="6.85546875" customWidth="1"/>
    <col min="3338" max="3338" width="7" customWidth="1"/>
    <col min="3339" max="3339" width="15" customWidth="1"/>
    <col min="3340" max="3340" width="10" customWidth="1"/>
    <col min="3585" max="3586" width="0.140625" customWidth="1"/>
    <col min="3587" max="3587" width="1.140625" customWidth="1"/>
    <col min="3588" max="3588" width="6.7109375" customWidth="1"/>
    <col min="3589" max="3589" width="5.42578125" customWidth="1"/>
    <col min="3590" max="3590" width="14.42578125" customWidth="1"/>
    <col min="3591" max="3591" width="6.140625" customWidth="1"/>
    <col min="3592" max="3592" width="32.5703125" customWidth="1"/>
    <col min="3593" max="3593" width="6.85546875" customWidth="1"/>
    <col min="3594" max="3594" width="7" customWidth="1"/>
    <col min="3595" max="3595" width="15" customWidth="1"/>
    <col min="3596" max="3596" width="10" customWidth="1"/>
    <col min="3841" max="3842" width="0.140625" customWidth="1"/>
    <col min="3843" max="3843" width="1.140625" customWidth="1"/>
    <col min="3844" max="3844" width="6.7109375" customWidth="1"/>
    <col min="3845" max="3845" width="5.42578125" customWidth="1"/>
    <col min="3846" max="3846" width="14.42578125" customWidth="1"/>
    <col min="3847" max="3847" width="6.140625" customWidth="1"/>
    <col min="3848" max="3848" width="32.5703125" customWidth="1"/>
    <col min="3849" max="3849" width="6.85546875" customWidth="1"/>
    <col min="3850" max="3850" width="7" customWidth="1"/>
    <col min="3851" max="3851" width="15" customWidth="1"/>
    <col min="3852" max="3852" width="10" customWidth="1"/>
    <col min="4097" max="4098" width="0.140625" customWidth="1"/>
    <col min="4099" max="4099" width="1.140625" customWidth="1"/>
    <col min="4100" max="4100" width="6.7109375" customWidth="1"/>
    <col min="4101" max="4101" width="5.42578125" customWidth="1"/>
    <col min="4102" max="4102" width="14.42578125" customWidth="1"/>
    <col min="4103" max="4103" width="6.140625" customWidth="1"/>
    <col min="4104" max="4104" width="32.5703125" customWidth="1"/>
    <col min="4105" max="4105" width="6.85546875" customWidth="1"/>
    <col min="4106" max="4106" width="7" customWidth="1"/>
    <col min="4107" max="4107" width="15" customWidth="1"/>
    <col min="4108" max="4108" width="10" customWidth="1"/>
    <col min="4353" max="4354" width="0.140625" customWidth="1"/>
    <col min="4355" max="4355" width="1.140625" customWidth="1"/>
    <col min="4356" max="4356" width="6.7109375" customWidth="1"/>
    <col min="4357" max="4357" width="5.42578125" customWidth="1"/>
    <col min="4358" max="4358" width="14.42578125" customWidth="1"/>
    <col min="4359" max="4359" width="6.140625" customWidth="1"/>
    <col min="4360" max="4360" width="32.5703125" customWidth="1"/>
    <col min="4361" max="4361" width="6.85546875" customWidth="1"/>
    <col min="4362" max="4362" width="7" customWidth="1"/>
    <col min="4363" max="4363" width="15" customWidth="1"/>
    <col min="4364" max="4364" width="10" customWidth="1"/>
    <col min="4609" max="4610" width="0.140625" customWidth="1"/>
    <col min="4611" max="4611" width="1.140625" customWidth="1"/>
    <col min="4612" max="4612" width="6.7109375" customWidth="1"/>
    <col min="4613" max="4613" width="5.42578125" customWidth="1"/>
    <col min="4614" max="4614" width="14.42578125" customWidth="1"/>
    <col min="4615" max="4615" width="6.140625" customWidth="1"/>
    <col min="4616" max="4616" width="32.5703125" customWidth="1"/>
    <col min="4617" max="4617" width="6.85546875" customWidth="1"/>
    <col min="4618" max="4618" width="7" customWidth="1"/>
    <col min="4619" max="4619" width="15" customWidth="1"/>
    <col min="4620" max="4620" width="10" customWidth="1"/>
    <col min="4865" max="4866" width="0.140625" customWidth="1"/>
    <col min="4867" max="4867" width="1.140625" customWidth="1"/>
    <col min="4868" max="4868" width="6.7109375" customWidth="1"/>
    <col min="4869" max="4869" width="5.42578125" customWidth="1"/>
    <col min="4870" max="4870" width="14.42578125" customWidth="1"/>
    <col min="4871" max="4871" width="6.140625" customWidth="1"/>
    <col min="4872" max="4872" width="32.5703125" customWidth="1"/>
    <col min="4873" max="4873" width="6.85546875" customWidth="1"/>
    <col min="4874" max="4874" width="7" customWidth="1"/>
    <col min="4875" max="4875" width="15" customWidth="1"/>
    <col min="4876" max="4876" width="10" customWidth="1"/>
    <col min="5121" max="5122" width="0.140625" customWidth="1"/>
    <col min="5123" max="5123" width="1.140625" customWidth="1"/>
    <col min="5124" max="5124" width="6.7109375" customWidth="1"/>
    <col min="5125" max="5125" width="5.42578125" customWidth="1"/>
    <col min="5126" max="5126" width="14.42578125" customWidth="1"/>
    <col min="5127" max="5127" width="6.140625" customWidth="1"/>
    <col min="5128" max="5128" width="32.5703125" customWidth="1"/>
    <col min="5129" max="5129" width="6.85546875" customWidth="1"/>
    <col min="5130" max="5130" width="7" customWidth="1"/>
    <col min="5131" max="5131" width="15" customWidth="1"/>
    <col min="5132" max="5132" width="10" customWidth="1"/>
    <col min="5377" max="5378" width="0.140625" customWidth="1"/>
    <col min="5379" max="5379" width="1.140625" customWidth="1"/>
    <col min="5380" max="5380" width="6.7109375" customWidth="1"/>
    <col min="5381" max="5381" width="5.42578125" customWidth="1"/>
    <col min="5382" max="5382" width="14.42578125" customWidth="1"/>
    <col min="5383" max="5383" width="6.140625" customWidth="1"/>
    <col min="5384" max="5384" width="32.5703125" customWidth="1"/>
    <col min="5385" max="5385" width="6.85546875" customWidth="1"/>
    <col min="5386" max="5386" width="7" customWidth="1"/>
    <col min="5387" max="5387" width="15" customWidth="1"/>
    <col min="5388" max="5388" width="10" customWidth="1"/>
    <col min="5633" max="5634" width="0.140625" customWidth="1"/>
    <col min="5635" max="5635" width="1.140625" customWidth="1"/>
    <col min="5636" max="5636" width="6.7109375" customWidth="1"/>
    <col min="5637" max="5637" width="5.42578125" customWidth="1"/>
    <col min="5638" max="5638" width="14.42578125" customWidth="1"/>
    <col min="5639" max="5639" width="6.140625" customWidth="1"/>
    <col min="5640" max="5640" width="32.5703125" customWidth="1"/>
    <col min="5641" max="5641" width="6.85546875" customWidth="1"/>
    <col min="5642" max="5642" width="7" customWidth="1"/>
    <col min="5643" max="5643" width="15" customWidth="1"/>
    <col min="5644" max="5644" width="10" customWidth="1"/>
    <col min="5889" max="5890" width="0.140625" customWidth="1"/>
    <col min="5891" max="5891" width="1.140625" customWidth="1"/>
    <col min="5892" max="5892" width="6.7109375" customWidth="1"/>
    <col min="5893" max="5893" width="5.42578125" customWidth="1"/>
    <col min="5894" max="5894" width="14.42578125" customWidth="1"/>
    <col min="5895" max="5895" width="6.140625" customWidth="1"/>
    <col min="5896" max="5896" width="32.5703125" customWidth="1"/>
    <col min="5897" max="5897" width="6.85546875" customWidth="1"/>
    <col min="5898" max="5898" width="7" customWidth="1"/>
    <col min="5899" max="5899" width="15" customWidth="1"/>
    <col min="5900" max="5900" width="10" customWidth="1"/>
    <col min="6145" max="6146" width="0.140625" customWidth="1"/>
    <col min="6147" max="6147" width="1.140625" customWidth="1"/>
    <col min="6148" max="6148" width="6.7109375" customWidth="1"/>
    <col min="6149" max="6149" width="5.42578125" customWidth="1"/>
    <col min="6150" max="6150" width="14.42578125" customWidth="1"/>
    <col min="6151" max="6151" width="6.140625" customWidth="1"/>
    <col min="6152" max="6152" width="32.5703125" customWidth="1"/>
    <col min="6153" max="6153" width="6.85546875" customWidth="1"/>
    <col min="6154" max="6154" width="7" customWidth="1"/>
    <col min="6155" max="6155" width="15" customWidth="1"/>
    <col min="6156" max="6156" width="10" customWidth="1"/>
    <col min="6401" max="6402" width="0.140625" customWidth="1"/>
    <col min="6403" max="6403" width="1.140625" customWidth="1"/>
    <col min="6404" max="6404" width="6.7109375" customWidth="1"/>
    <col min="6405" max="6405" width="5.42578125" customWidth="1"/>
    <col min="6406" max="6406" width="14.42578125" customWidth="1"/>
    <col min="6407" max="6407" width="6.140625" customWidth="1"/>
    <col min="6408" max="6408" width="32.5703125" customWidth="1"/>
    <col min="6409" max="6409" width="6.85546875" customWidth="1"/>
    <col min="6410" max="6410" width="7" customWidth="1"/>
    <col min="6411" max="6411" width="15" customWidth="1"/>
    <col min="6412" max="6412" width="10" customWidth="1"/>
    <col min="6657" max="6658" width="0.140625" customWidth="1"/>
    <col min="6659" max="6659" width="1.140625" customWidth="1"/>
    <col min="6660" max="6660" width="6.7109375" customWidth="1"/>
    <col min="6661" max="6661" width="5.42578125" customWidth="1"/>
    <col min="6662" max="6662" width="14.42578125" customWidth="1"/>
    <col min="6663" max="6663" width="6.140625" customWidth="1"/>
    <col min="6664" max="6664" width="32.5703125" customWidth="1"/>
    <col min="6665" max="6665" width="6.85546875" customWidth="1"/>
    <col min="6666" max="6666" width="7" customWidth="1"/>
    <col min="6667" max="6667" width="15" customWidth="1"/>
    <col min="6668" max="6668" width="10" customWidth="1"/>
    <col min="6913" max="6914" width="0.140625" customWidth="1"/>
    <col min="6915" max="6915" width="1.140625" customWidth="1"/>
    <col min="6916" max="6916" width="6.7109375" customWidth="1"/>
    <col min="6917" max="6917" width="5.42578125" customWidth="1"/>
    <col min="6918" max="6918" width="14.42578125" customWidth="1"/>
    <col min="6919" max="6919" width="6.140625" customWidth="1"/>
    <col min="6920" max="6920" width="32.5703125" customWidth="1"/>
    <col min="6921" max="6921" width="6.85546875" customWidth="1"/>
    <col min="6922" max="6922" width="7" customWidth="1"/>
    <col min="6923" max="6923" width="15" customWidth="1"/>
    <col min="6924" max="6924" width="10" customWidth="1"/>
    <col min="7169" max="7170" width="0.140625" customWidth="1"/>
    <col min="7171" max="7171" width="1.140625" customWidth="1"/>
    <col min="7172" max="7172" width="6.7109375" customWidth="1"/>
    <col min="7173" max="7173" width="5.42578125" customWidth="1"/>
    <col min="7174" max="7174" width="14.42578125" customWidth="1"/>
    <col min="7175" max="7175" width="6.140625" customWidth="1"/>
    <col min="7176" max="7176" width="32.5703125" customWidth="1"/>
    <col min="7177" max="7177" width="6.85546875" customWidth="1"/>
    <col min="7178" max="7178" width="7" customWidth="1"/>
    <col min="7179" max="7179" width="15" customWidth="1"/>
    <col min="7180" max="7180" width="10" customWidth="1"/>
    <col min="7425" max="7426" width="0.140625" customWidth="1"/>
    <col min="7427" max="7427" width="1.140625" customWidth="1"/>
    <col min="7428" max="7428" width="6.7109375" customWidth="1"/>
    <col min="7429" max="7429" width="5.42578125" customWidth="1"/>
    <col min="7430" max="7430" width="14.42578125" customWidth="1"/>
    <col min="7431" max="7431" width="6.140625" customWidth="1"/>
    <col min="7432" max="7432" width="32.5703125" customWidth="1"/>
    <col min="7433" max="7433" width="6.85546875" customWidth="1"/>
    <col min="7434" max="7434" width="7" customWidth="1"/>
    <col min="7435" max="7435" width="15" customWidth="1"/>
    <col min="7436" max="7436" width="10" customWidth="1"/>
    <col min="7681" max="7682" width="0.140625" customWidth="1"/>
    <col min="7683" max="7683" width="1.140625" customWidth="1"/>
    <col min="7684" max="7684" width="6.7109375" customWidth="1"/>
    <col min="7685" max="7685" width="5.42578125" customWidth="1"/>
    <col min="7686" max="7686" width="14.42578125" customWidth="1"/>
    <col min="7687" max="7687" width="6.140625" customWidth="1"/>
    <col min="7688" max="7688" width="32.5703125" customWidth="1"/>
    <col min="7689" max="7689" width="6.85546875" customWidth="1"/>
    <col min="7690" max="7690" width="7" customWidth="1"/>
    <col min="7691" max="7691" width="15" customWidth="1"/>
    <col min="7692" max="7692" width="10" customWidth="1"/>
    <col min="7937" max="7938" width="0.140625" customWidth="1"/>
    <col min="7939" max="7939" width="1.140625" customWidth="1"/>
    <col min="7940" max="7940" width="6.7109375" customWidth="1"/>
    <col min="7941" max="7941" width="5.42578125" customWidth="1"/>
    <col min="7942" max="7942" width="14.42578125" customWidth="1"/>
    <col min="7943" max="7943" width="6.140625" customWidth="1"/>
    <col min="7944" max="7944" width="32.5703125" customWidth="1"/>
    <col min="7945" max="7945" width="6.85546875" customWidth="1"/>
    <col min="7946" max="7946" width="7" customWidth="1"/>
    <col min="7947" max="7947" width="15" customWidth="1"/>
    <col min="7948" max="7948" width="10" customWidth="1"/>
    <col min="8193" max="8194" width="0.140625" customWidth="1"/>
    <col min="8195" max="8195" width="1.140625" customWidth="1"/>
    <col min="8196" max="8196" width="6.7109375" customWidth="1"/>
    <col min="8197" max="8197" width="5.42578125" customWidth="1"/>
    <col min="8198" max="8198" width="14.42578125" customWidth="1"/>
    <col min="8199" max="8199" width="6.140625" customWidth="1"/>
    <col min="8200" max="8200" width="32.5703125" customWidth="1"/>
    <col min="8201" max="8201" width="6.85546875" customWidth="1"/>
    <col min="8202" max="8202" width="7" customWidth="1"/>
    <col min="8203" max="8203" width="15" customWidth="1"/>
    <col min="8204" max="8204" width="10" customWidth="1"/>
    <col min="8449" max="8450" width="0.140625" customWidth="1"/>
    <col min="8451" max="8451" width="1.140625" customWidth="1"/>
    <col min="8452" max="8452" width="6.7109375" customWidth="1"/>
    <col min="8453" max="8453" width="5.42578125" customWidth="1"/>
    <col min="8454" max="8454" width="14.42578125" customWidth="1"/>
    <col min="8455" max="8455" width="6.140625" customWidth="1"/>
    <col min="8456" max="8456" width="32.5703125" customWidth="1"/>
    <col min="8457" max="8457" width="6.85546875" customWidth="1"/>
    <col min="8458" max="8458" width="7" customWidth="1"/>
    <col min="8459" max="8459" width="15" customWidth="1"/>
    <col min="8460" max="8460" width="10" customWidth="1"/>
    <col min="8705" max="8706" width="0.140625" customWidth="1"/>
    <col min="8707" max="8707" width="1.140625" customWidth="1"/>
    <col min="8708" max="8708" width="6.7109375" customWidth="1"/>
    <col min="8709" max="8709" width="5.42578125" customWidth="1"/>
    <col min="8710" max="8710" width="14.42578125" customWidth="1"/>
    <col min="8711" max="8711" width="6.140625" customWidth="1"/>
    <col min="8712" max="8712" width="32.5703125" customWidth="1"/>
    <col min="8713" max="8713" width="6.85546875" customWidth="1"/>
    <col min="8714" max="8714" width="7" customWidth="1"/>
    <col min="8715" max="8715" width="15" customWidth="1"/>
    <col min="8716" max="8716" width="10" customWidth="1"/>
    <col min="8961" max="8962" width="0.140625" customWidth="1"/>
    <col min="8963" max="8963" width="1.140625" customWidth="1"/>
    <col min="8964" max="8964" width="6.7109375" customWidth="1"/>
    <col min="8965" max="8965" width="5.42578125" customWidth="1"/>
    <col min="8966" max="8966" width="14.42578125" customWidth="1"/>
    <col min="8967" max="8967" width="6.140625" customWidth="1"/>
    <col min="8968" max="8968" width="32.5703125" customWidth="1"/>
    <col min="8969" max="8969" width="6.85546875" customWidth="1"/>
    <col min="8970" max="8970" width="7" customWidth="1"/>
    <col min="8971" max="8971" width="15" customWidth="1"/>
    <col min="8972" max="8972" width="10" customWidth="1"/>
    <col min="9217" max="9218" width="0.140625" customWidth="1"/>
    <col min="9219" max="9219" width="1.140625" customWidth="1"/>
    <col min="9220" max="9220" width="6.7109375" customWidth="1"/>
    <col min="9221" max="9221" width="5.42578125" customWidth="1"/>
    <col min="9222" max="9222" width="14.42578125" customWidth="1"/>
    <col min="9223" max="9223" width="6.140625" customWidth="1"/>
    <col min="9224" max="9224" width="32.5703125" customWidth="1"/>
    <col min="9225" max="9225" width="6.85546875" customWidth="1"/>
    <col min="9226" max="9226" width="7" customWidth="1"/>
    <col min="9227" max="9227" width="15" customWidth="1"/>
    <col min="9228" max="9228" width="10" customWidth="1"/>
    <col min="9473" max="9474" width="0.140625" customWidth="1"/>
    <col min="9475" max="9475" width="1.140625" customWidth="1"/>
    <col min="9476" max="9476" width="6.7109375" customWidth="1"/>
    <col min="9477" max="9477" width="5.42578125" customWidth="1"/>
    <col min="9478" max="9478" width="14.42578125" customWidth="1"/>
    <col min="9479" max="9479" width="6.140625" customWidth="1"/>
    <col min="9480" max="9480" width="32.5703125" customWidth="1"/>
    <col min="9481" max="9481" width="6.85546875" customWidth="1"/>
    <col min="9482" max="9482" width="7" customWidth="1"/>
    <col min="9483" max="9483" width="15" customWidth="1"/>
    <col min="9484" max="9484" width="10" customWidth="1"/>
    <col min="9729" max="9730" width="0.140625" customWidth="1"/>
    <col min="9731" max="9731" width="1.140625" customWidth="1"/>
    <col min="9732" max="9732" width="6.7109375" customWidth="1"/>
    <col min="9733" max="9733" width="5.42578125" customWidth="1"/>
    <col min="9734" max="9734" width="14.42578125" customWidth="1"/>
    <col min="9735" max="9735" width="6.140625" customWidth="1"/>
    <col min="9736" max="9736" width="32.5703125" customWidth="1"/>
    <col min="9737" max="9737" width="6.85546875" customWidth="1"/>
    <col min="9738" max="9738" width="7" customWidth="1"/>
    <col min="9739" max="9739" width="15" customWidth="1"/>
    <col min="9740" max="9740" width="10" customWidth="1"/>
    <col min="9985" max="9986" width="0.140625" customWidth="1"/>
    <col min="9987" max="9987" width="1.140625" customWidth="1"/>
    <col min="9988" max="9988" width="6.7109375" customWidth="1"/>
    <col min="9989" max="9989" width="5.42578125" customWidth="1"/>
    <col min="9990" max="9990" width="14.42578125" customWidth="1"/>
    <col min="9991" max="9991" width="6.140625" customWidth="1"/>
    <col min="9992" max="9992" width="32.5703125" customWidth="1"/>
    <col min="9993" max="9993" width="6.85546875" customWidth="1"/>
    <col min="9994" max="9994" width="7" customWidth="1"/>
    <col min="9995" max="9995" width="15" customWidth="1"/>
    <col min="9996" max="9996" width="10" customWidth="1"/>
    <col min="10241" max="10242" width="0.140625" customWidth="1"/>
    <col min="10243" max="10243" width="1.140625" customWidth="1"/>
    <col min="10244" max="10244" width="6.7109375" customWidth="1"/>
    <col min="10245" max="10245" width="5.42578125" customWidth="1"/>
    <col min="10246" max="10246" width="14.42578125" customWidth="1"/>
    <col min="10247" max="10247" width="6.140625" customWidth="1"/>
    <col min="10248" max="10248" width="32.5703125" customWidth="1"/>
    <col min="10249" max="10249" width="6.85546875" customWidth="1"/>
    <col min="10250" max="10250" width="7" customWidth="1"/>
    <col min="10251" max="10251" width="15" customWidth="1"/>
    <col min="10252" max="10252" width="10" customWidth="1"/>
    <col min="10497" max="10498" width="0.140625" customWidth="1"/>
    <col min="10499" max="10499" width="1.140625" customWidth="1"/>
    <col min="10500" max="10500" width="6.7109375" customWidth="1"/>
    <col min="10501" max="10501" width="5.42578125" customWidth="1"/>
    <col min="10502" max="10502" width="14.42578125" customWidth="1"/>
    <col min="10503" max="10503" width="6.140625" customWidth="1"/>
    <col min="10504" max="10504" width="32.5703125" customWidth="1"/>
    <col min="10505" max="10505" width="6.85546875" customWidth="1"/>
    <col min="10506" max="10506" width="7" customWidth="1"/>
    <col min="10507" max="10507" width="15" customWidth="1"/>
    <col min="10508" max="10508" width="10" customWidth="1"/>
    <col min="10753" max="10754" width="0.140625" customWidth="1"/>
    <col min="10755" max="10755" width="1.140625" customWidth="1"/>
    <col min="10756" max="10756" width="6.7109375" customWidth="1"/>
    <col min="10757" max="10757" width="5.42578125" customWidth="1"/>
    <col min="10758" max="10758" width="14.42578125" customWidth="1"/>
    <col min="10759" max="10759" width="6.140625" customWidth="1"/>
    <col min="10760" max="10760" width="32.5703125" customWidth="1"/>
    <col min="10761" max="10761" width="6.85546875" customWidth="1"/>
    <col min="10762" max="10762" width="7" customWidth="1"/>
    <col min="10763" max="10763" width="15" customWidth="1"/>
    <col min="10764" max="10764" width="10" customWidth="1"/>
    <col min="11009" max="11010" width="0.140625" customWidth="1"/>
    <col min="11011" max="11011" width="1.140625" customWidth="1"/>
    <col min="11012" max="11012" width="6.7109375" customWidth="1"/>
    <col min="11013" max="11013" width="5.42578125" customWidth="1"/>
    <col min="11014" max="11014" width="14.42578125" customWidth="1"/>
    <col min="11015" max="11015" width="6.140625" customWidth="1"/>
    <col min="11016" max="11016" width="32.5703125" customWidth="1"/>
    <col min="11017" max="11017" width="6.85546875" customWidth="1"/>
    <col min="11018" max="11018" width="7" customWidth="1"/>
    <col min="11019" max="11019" width="15" customWidth="1"/>
    <col min="11020" max="11020" width="10" customWidth="1"/>
    <col min="11265" max="11266" width="0.140625" customWidth="1"/>
    <col min="11267" max="11267" width="1.140625" customWidth="1"/>
    <col min="11268" max="11268" width="6.7109375" customWidth="1"/>
    <col min="11269" max="11269" width="5.42578125" customWidth="1"/>
    <col min="11270" max="11270" width="14.42578125" customWidth="1"/>
    <col min="11271" max="11271" width="6.140625" customWidth="1"/>
    <col min="11272" max="11272" width="32.5703125" customWidth="1"/>
    <col min="11273" max="11273" width="6.85546875" customWidth="1"/>
    <col min="11274" max="11274" width="7" customWidth="1"/>
    <col min="11275" max="11275" width="15" customWidth="1"/>
    <col min="11276" max="11276" width="10" customWidth="1"/>
    <col min="11521" max="11522" width="0.140625" customWidth="1"/>
    <col min="11523" max="11523" width="1.140625" customWidth="1"/>
    <col min="11524" max="11524" width="6.7109375" customWidth="1"/>
    <col min="11525" max="11525" width="5.42578125" customWidth="1"/>
    <col min="11526" max="11526" width="14.42578125" customWidth="1"/>
    <col min="11527" max="11527" width="6.140625" customWidth="1"/>
    <col min="11528" max="11528" width="32.5703125" customWidth="1"/>
    <col min="11529" max="11529" width="6.85546875" customWidth="1"/>
    <col min="11530" max="11530" width="7" customWidth="1"/>
    <col min="11531" max="11531" width="15" customWidth="1"/>
    <col min="11532" max="11532" width="10" customWidth="1"/>
    <col min="11777" max="11778" width="0.140625" customWidth="1"/>
    <col min="11779" max="11779" width="1.140625" customWidth="1"/>
    <col min="11780" max="11780" width="6.7109375" customWidth="1"/>
    <col min="11781" max="11781" width="5.42578125" customWidth="1"/>
    <col min="11782" max="11782" width="14.42578125" customWidth="1"/>
    <col min="11783" max="11783" width="6.140625" customWidth="1"/>
    <col min="11784" max="11784" width="32.5703125" customWidth="1"/>
    <col min="11785" max="11785" width="6.85546875" customWidth="1"/>
    <col min="11786" max="11786" width="7" customWidth="1"/>
    <col min="11787" max="11787" width="15" customWidth="1"/>
    <col min="11788" max="11788" width="10" customWidth="1"/>
    <col min="12033" max="12034" width="0.140625" customWidth="1"/>
    <col min="12035" max="12035" width="1.140625" customWidth="1"/>
    <col min="12036" max="12036" width="6.7109375" customWidth="1"/>
    <col min="12037" max="12037" width="5.42578125" customWidth="1"/>
    <col min="12038" max="12038" width="14.42578125" customWidth="1"/>
    <col min="12039" max="12039" width="6.140625" customWidth="1"/>
    <col min="12040" max="12040" width="32.5703125" customWidth="1"/>
    <col min="12041" max="12041" width="6.85546875" customWidth="1"/>
    <col min="12042" max="12042" width="7" customWidth="1"/>
    <col min="12043" max="12043" width="15" customWidth="1"/>
    <col min="12044" max="12044" width="10" customWidth="1"/>
    <col min="12289" max="12290" width="0.140625" customWidth="1"/>
    <col min="12291" max="12291" width="1.140625" customWidth="1"/>
    <col min="12292" max="12292" width="6.7109375" customWidth="1"/>
    <col min="12293" max="12293" width="5.42578125" customWidth="1"/>
    <col min="12294" max="12294" width="14.42578125" customWidth="1"/>
    <col min="12295" max="12295" width="6.140625" customWidth="1"/>
    <col min="12296" max="12296" width="32.5703125" customWidth="1"/>
    <col min="12297" max="12297" width="6.85546875" customWidth="1"/>
    <col min="12298" max="12298" width="7" customWidth="1"/>
    <col min="12299" max="12299" width="15" customWidth="1"/>
    <col min="12300" max="12300" width="10" customWidth="1"/>
    <col min="12545" max="12546" width="0.140625" customWidth="1"/>
    <col min="12547" max="12547" width="1.140625" customWidth="1"/>
    <col min="12548" max="12548" width="6.7109375" customWidth="1"/>
    <col min="12549" max="12549" width="5.42578125" customWidth="1"/>
    <col min="12550" max="12550" width="14.42578125" customWidth="1"/>
    <col min="12551" max="12551" width="6.140625" customWidth="1"/>
    <col min="12552" max="12552" width="32.5703125" customWidth="1"/>
    <col min="12553" max="12553" width="6.85546875" customWidth="1"/>
    <col min="12554" max="12554" width="7" customWidth="1"/>
    <col min="12555" max="12555" width="15" customWidth="1"/>
    <col min="12556" max="12556" width="10" customWidth="1"/>
    <col min="12801" max="12802" width="0.140625" customWidth="1"/>
    <col min="12803" max="12803" width="1.140625" customWidth="1"/>
    <col min="12804" max="12804" width="6.7109375" customWidth="1"/>
    <col min="12805" max="12805" width="5.42578125" customWidth="1"/>
    <col min="12806" max="12806" width="14.42578125" customWidth="1"/>
    <col min="12807" max="12807" width="6.140625" customWidth="1"/>
    <col min="12808" max="12808" width="32.5703125" customWidth="1"/>
    <col min="12809" max="12809" width="6.85546875" customWidth="1"/>
    <col min="12810" max="12810" width="7" customWidth="1"/>
    <col min="12811" max="12811" width="15" customWidth="1"/>
    <col min="12812" max="12812" width="10" customWidth="1"/>
    <col min="13057" max="13058" width="0.140625" customWidth="1"/>
    <col min="13059" max="13059" width="1.140625" customWidth="1"/>
    <col min="13060" max="13060" width="6.7109375" customWidth="1"/>
    <col min="13061" max="13061" width="5.42578125" customWidth="1"/>
    <col min="13062" max="13062" width="14.42578125" customWidth="1"/>
    <col min="13063" max="13063" width="6.140625" customWidth="1"/>
    <col min="13064" max="13064" width="32.5703125" customWidth="1"/>
    <col min="13065" max="13065" width="6.85546875" customWidth="1"/>
    <col min="13066" max="13066" width="7" customWidth="1"/>
    <col min="13067" max="13067" width="15" customWidth="1"/>
    <col min="13068" max="13068" width="10" customWidth="1"/>
    <col min="13313" max="13314" width="0.140625" customWidth="1"/>
    <col min="13315" max="13315" width="1.140625" customWidth="1"/>
    <col min="13316" max="13316" width="6.7109375" customWidth="1"/>
    <col min="13317" max="13317" width="5.42578125" customWidth="1"/>
    <col min="13318" max="13318" width="14.42578125" customWidth="1"/>
    <col min="13319" max="13319" width="6.140625" customWidth="1"/>
    <col min="13320" max="13320" width="32.5703125" customWidth="1"/>
    <col min="13321" max="13321" width="6.85546875" customWidth="1"/>
    <col min="13322" max="13322" width="7" customWidth="1"/>
    <col min="13323" max="13323" width="15" customWidth="1"/>
    <col min="13324" max="13324" width="10" customWidth="1"/>
    <col min="13569" max="13570" width="0.140625" customWidth="1"/>
    <col min="13571" max="13571" width="1.140625" customWidth="1"/>
    <col min="13572" max="13572" width="6.7109375" customWidth="1"/>
    <col min="13573" max="13573" width="5.42578125" customWidth="1"/>
    <col min="13574" max="13574" width="14.42578125" customWidth="1"/>
    <col min="13575" max="13575" width="6.140625" customWidth="1"/>
    <col min="13576" max="13576" width="32.5703125" customWidth="1"/>
    <col min="13577" max="13577" width="6.85546875" customWidth="1"/>
    <col min="13578" max="13578" width="7" customWidth="1"/>
    <col min="13579" max="13579" width="15" customWidth="1"/>
    <col min="13580" max="13580" width="10" customWidth="1"/>
    <col min="13825" max="13826" width="0.140625" customWidth="1"/>
    <col min="13827" max="13827" width="1.140625" customWidth="1"/>
    <col min="13828" max="13828" width="6.7109375" customWidth="1"/>
    <col min="13829" max="13829" width="5.42578125" customWidth="1"/>
    <col min="13830" max="13830" width="14.42578125" customWidth="1"/>
    <col min="13831" max="13831" width="6.140625" customWidth="1"/>
    <col min="13832" max="13832" width="32.5703125" customWidth="1"/>
    <col min="13833" max="13833" width="6.85546875" customWidth="1"/>
    <col min="13834" max="13834" width="7" customWidth="1"/>
    <col min="13835" max="13835" width="15" customWidth="1"/>
    <col min="13836" max="13836" width="10" customWidth="1"/>
    <col min="14081" max="14082" width="0.140625" customWidth="1"/>
    <col min="14083" max="14083" width="1.140625" customWidth="1"/>
    <col min="14084" max="14084" width="6.7109375" customWidth="1"/>
    <col min="14085" max="14085" width="5.42578125" customWidth="1"/>
    <col min="14086" max="14086" width="14.42578125" customWidth="1"/>
    <col min="14087" max="14087" width="6.140625" customWidth="1"/>
    <col min="14088" max="14088" width="32.5703125" customWidth="1"/>
    <col min="14089" max="14089" width="6.85546875" customWidth="1"/>
    <col min="14090" max="14090" width="7" customWidth="1"/>
    <col min="14091" max="14091" width="15" customWidth="1"/>
    <col min="14092" max="14092" width="10" customWidth="1"/>
    <col min="14337" max="14338" width="0.140625" customWidth="1"/>
    <col min="14339" max="14339" width="1.140625" customWidth="1"/>
    <col min="14340" max="14340" width="6.7109375" customWidth="1"/>
    <col min="14341" max="14341" width="5.42578125" customWidth="1"/>
    <col min="14342" max="14342" width="14.42578125" customWidth="1"/>
    <col min="14343" max="14343" width="6.140625" customWidth="1"/>
    <col min="14344" max="14344" width="32.5703125" customWidth="1"/>
    <col min="14345" max="14345" width="6.85546875" customWidth="1"/>
    <col min="14346" max="14346" width="7" customWidth="1"/>
    <col min="14347" max="14347" width="15" customWidth="1"/>
    <col min="14348" max="14348" width="10" customWidth="1"/>
    <col min="14593" max="14594" width="0.140625" customWidth="1"/>
    <col min="14595" max="14595" width="1.140625" customWidth="1"/>
    <col min="14596" max="14596" width="6.7109375" customWidth="1"/>
    <col min="14597" max="14597" width="5.42578125" customWidth="1"/>
    <col min="14598" max="14598" width="14.42578125" customWidth="1"/>
    <col min="14599" max="14599" width="6.140625" customWidth="1"/>
    <col min="14600" max="14600" width="32.5703125" customWidth="1"/>
    <col min="14601" max="14601" width="6.85546875" customWidth="1"/>
    <col min="14602" max="14602" width="7" customWidth="1"/>
    <col min="14603" max="14603" width="15" customWidth="1"/>
    <col min="14604" max="14604" width="10" customWidth="1"/>
    <col min="14849" max="14850" width="0.140625" customWidth="1"/>
    <col min="14851" max="14851" width="1.140625" customWidth="1"/>
    <col min="14852" max="14852" width="6.7109375" customWidth="1"/>
    <col min="14853" max="14853" width="5.42578125" customWidth="1"/>
    <col min="14854" max="14854" width="14.42578125" customWidth="1"/>
    <col min="14855" max="14855" width="6.140625" customWidth="1"/>
    <col min="14856" max="14856" width="32.5703125" customWidth="1"/>
    <col min="14857" max="14857" width="6.85546875" customWidth="1"/>
    <col min="14858" max="14858" width="7" customWidth="1"/>
    <col min="14859" max="14859" width="15" customWidth="1"/>
    <col min="14860" max="14860" width="10" customWidth="1"/>
    <col min="15105" max="15106" width="0.140625" customWidth="1"/>
    <col min="15107" max="15107" width="1.140625" customWidth="1"/>
    <col min="15108" max="15108" width="6.7109375" customWidth="1"/>
    <col min="15109" max="15109" width="5.42578125" customWidth="1"/>
    <col min="15110" max="15110" width="14.42578125" customWidth="1"/>
    <col min="15111" max="15111" width="6.140625" customWidth="1"/>
    <col min="15112" max="15112" width="32.5703125" customWidth="1"/>
    <col min="15113" max="15113" width="6.85546875" customWidth="1"/>
    <col min="15114" max="15114" width="7" customWidth="1"/>
    <col min="15115" max="15115" width="15" customWidth="1"/>
    <col min="15116" max="15116" width="10" customWidth="1"/>
    <col min="15361" max="15362" width="0.140625" customWidth="1"/>
    <col min="15363" max="15363" width="1.140625" customWidth="1"/>
    <col min="15364" max="15364" width="6.7109375" customWidth="1"/>
    <col min="15365" max="15365" width="5.42578125" customWidth="1"/>
    <col min="15366" max="15366" width="14.42578125" customWidth="1"/>
    <col min="15367" max="15367" width="6.140625" customWidth="1"/>
    <col min="15368" max="15368" width="32.5703125" customWidth="1"/>
    <col min="15369" max="15369" width="6.85546875" customWidth="1"/>
    <col min="15370" max="15370" width="7" customWidth="1"/>
    <col min="15371" max="15371" width="15" customWidth="1"/>
    <col min="15372" max="15372" width="10" customWidth="1"/>
    <col min="15617" max="15618" width="0.140625" customWidth="1"/>
    <col min="15619" max="15619" width="1.140625" customWidth="1"/>
    <col min="15620" max="15620" width="6.7109375" customWidth="1"/>
    <col min="15621" max="15621" width="5.42578125" customWidth="1"/>
    <col min="15622" max="15622" width="14.42578125" customWidth="1"/>
    <col min="15623" max="15623" width="6.140625" customWidth="1"/>
    <col min="15624" max="15624" width="32.5703125" customWidth="1"/>
    <col min="15625" max="15625" width="6.85546875" customWidth="1"/>
    <col min="15626" max="15626" width="7" customWidth="1"/>
    <col min="15627" max="15627" width="15" customWidth="1"/>
    <col min="15628" max="15628" width="10" customWidth="1"/>
    <col min="15873" max="15874" width="0.140625" customWidth="1"/>
    <col min="15875" max="15875" width="1.140625" customWidth="1"/>
    <col min="15876" max="15876" width="6.7109375" customWidth="1"/>
    <col min="15877" max="15877" width="5.42578125" customWidth="1"/>
    <col min="15878" max="15878" width="14.42578125" customWidth="1"/>
    <col min="15879" max="15879" width="6.140625" customWidth="1"/>
    <col min="15880" max="15880" width="32.5703125" customWidth="1"/>
    <col min="15881" max="15881" width="6.85546875" customWidth="1"/>
    <col min="15882" max="15882" width="7" customWidth="1"/>
    <col min="15883" max="15883" width="15" customWidth="1"/>
    <col min="15884" max="15884" width="10" customWidth="1"/>
    <col min="16129" max="16130" width="0.140625" customWidth="1"/>
    <col min="16131" max="16131" width="1.140625" customWidth="1"/>
    <col min="16132" max="16132" width="6.7109375" customWidth="1"/>
    <col min="16133" max="16133" width="5.42578125" customWidth="1"/>
    <col min="16134" max="16134" width="14.42578125" customWidth="1"/>
    <col min="16135" max="16135" width="6.140625" customWidth="1"/>
    <col min="16136" max="16136" width="32.5703125" customWidth="1"/>
    <col min="16137" max="16137" width="6.85546875" customWidth="1"/>
    <col min="16138" max="16138" width="7" customWidth="1"/>
    <col min="16139" max="16139" width="15" customWidth="1"/>
    <col min="16140" max="16140" width="10" customWidth="1"/>
  </cols>
  <sheetData>
    <row r="1" spans="4:12" ht="3.75" customHeight="1" x14ac:dyDescent="0.25"/>
    <row r="2" spans="4:12" x14ac:dyDescent="0.25">
      <c r="I2" s="1" t="s">
        <v>19</v>
      </c>
      <c r="J2" s="1"/>
      <c r="K2" s="1"/>
      <c r="L2" s="1"/>
    </row>
    <row r="3" spans="4:12" ht="12" customHeight="1" x14ac:dyDescent="0.25">
      <c r="I3" t="s">
        <v>20</v>
      </c>
    </row>
    <row r="4" spans="4:12" ht="15" customHeight="1" x14ac:dyDescent="0.25">
      <c r="I4" s="2" t="s">
        <v>0</v>
      </c>
    </row>
    <row r="5" spans="4:12" x14ac:dyDescent="0.25">
      <c r="I5" s="29" t="s">
        <v>22</v>
      </c>
    </row>
    <row r="6" spans="4:12" x14ac:dyDescent="0.25">
      <c r="I6" t="s">
        <v>21</v>
      </c>
    </row>
    <row r="7" spans="4:12" x14ac:dyDescent="0.25">
      <c r="I7" t="s">
        <v>1</v>
      </c>
    </row>
    <row r="9" spans="4:12" ht="15.95" customHeight="1" x14ac:dyDescent="0.25">
      <c r="D9" t="s">
        <v>2</v>
      </c>
      <c r="E9" t="s">
        <v>2</v>
      </c>
      <c r="F9" s="3" t="s">
        <v>3</v>
      </c>
    </row>
    <row r="10" spans="4:12" ht="9.9499999999999993" customHeight="1" x14ac:dyDescent="0.25">
      <c r="F10" s="4"/>
    </row>
    <row r="11" spans="4:12" ht="12.75" customHeight="1" x14ac:dyDescent="0.25">
      <c r="D11" t="s">
        <v>4</v>
      </c>
      <c r="H11" s="5" t="s">
        <v>49</v>
      </c>
      <c r="I11" s="6"/>
    </row>
    <row r="12" spans="4:12" ht="9.9499999999999993" customHeight="1" x14ac:dyDescent="0.25"/>
    <row r="13" spans="4:12" ht="12.75" customHeight="1" x14ac:dyDescent="0.25">
      <c r="D13" t="s">
        <v>5</v>
      </c>
      <c r="H13" s="7" t="s">
        <v>17</v>
      </c>
      <c r="I13" s="6"/>
    </row>
    <row r="14" spans="4:12" ht="9.9499999999999993" customHeight="1" x14ac:dyDescent="0.25"/>
    <row r="15" spans="4:12" ht="12.75" customHeight="1" x14ac:dyDescent="0.25">
      <c r="D15" t="s">
        <v>6</v>
      </c>
      <c r="G15" t="s">
        <v>2</v>
      </c>
      <c r="H15" s="8">
        <v>44606</v>
      </c>
      <c r="J15" t="s">
        <v>2</v>
      </c>
      <c r="K15" t="s">
        <v>2</v>
      </c>
    </row>
    <row r="16" spans="4:12" ht="12.75" customHeight="1" x14ac:dyDescent="0.25">
      <c r="J16" s="9"/>
      <c r="K16" s="32">
        <v>220031</v>
      </c>
    </row>
    <row r="17" spans="1:11" ht="12.75" customHeight="1" x14ac:dyDescent="0.25">
      <c r="D17" t="s">
        <v>7</v>
      </c>
    </row>
    <row r="18" spans="1:11" ht="7.5" customHeight="1" x14ac:dyDescent="0.25"/>
    <row r="19" spans="1:11" x14ac:dyDescent="0.25">
      <c r="C19" s="11"/>
      <c r="D19" s="12" t="s">
        <v>8</v>
      </c>
      <c r="E19" s="13"/>
      <c r="F19" s="12" t="s">
        <v>9</v>
      </c>
      <c r="G19" s="13"/>
      <c r="H19" s="13" t="s">
        <v>10</v>
      </c>
      <c r="I19" s="14" t="s">
        <v>11</v>
      </c>
      <c r="J19" s="13"/>
      <c r="K19" s="15" t="s">
        <v>12</v>
      </c>
    </row>
    <row r="20" spans="1:11" ht="9.9499999999999993" customHeight="1" x14ac:dyDescent="0.25">
      <c r="C20" s="11"/>
      <c r="D20" s="12"/>
      <c r="E20" s="13"/>
      <c r="F20" s="12"/>
      <c r="G20" s="13"/>
      <c r="H20" s="13"/>
      <c r="I20" s="16"/>
      <c r="J20" s="13"/>
      <c r="K20" s="17"/>
    </row>
    <row r="21" spans="1:11" ht="12.75" customHeight="1" x14ac:dyDescent="0.25">
      <c r="C21" s="11"/>
      <c r="D21" s="83" t="s">
        <v>32</v>
      </c>
      <c r="E21" s="84"/>
      <c r="F21" s="21" t="s">
        <v>30</v>
      </c>
      <c r="G21" s="22">
        <v>6</v>
      </c>
      <c r="H21" s="11" t="s">
        <v>27</v>
      </c>
      <c r="I21" s="33">
        <v>12.1</v>
      </c>
      <c r="J21" s="11" t="s">
        <v>13</v>
      </c>
      <c r="K21" s="20" t="s">
        <v>18</v>
      </c>
    </row>
    <row r="22" spans="1:11" ht="12.75" customHeight="1" x14ac:dyDescent="0.25">
      <c r="C22" s="11"/>
      <c r="D22" s="18"/>
      <c r="E22" s="11"/>
      <c r="F22" s="21"/>
      <c r="G22" s="22"/>
      <c r="H22" s="11"/>
      <c r="I22" s="33"/>
      <c r="J22" s="11"/>
      <c r="K22" s="20"/>
    </row>
    <row r="23" spans="1:11" ht="12.75" customHeight="1" x14ac:dyDescent="0.25">
      <c r="C23" s="11"/>
      <c r="D23" s="83">
        <v>17</v>
      </c>
      <c r="E23" s="84"/>
      <c r="F23" s="21" t="s">
        <v>30</v>
      </c>
      <c r="G23" s="22">
        <v>4</v>
      </c>
      <c r="H23" s="11" t="s">
        <v>27</v>
      </c>
      <c r="I23" s="33">
        <v>8.58</v>
      </c>
      <c r="J23" s="11" t="s">
        <v>13</v>
      </c>
      <c r="K23" s="20" t="s">
        <v>18</v>
      </c>
    </row>
    <row r="24" spans="1:11" ht="12.75" customHeight="1" x14ac:dyDescent="0.25">
      <c r="C24" s="11"/>
      <c r="D24" s="18"/>
      <c r="E24" s="11"/>
      <c r="F24" s="21" t="s">
        <v>33</v>
      </c>
      <c r="G24" s="22">
        <v>1</v>
      </c>
      <c r="H24" s="11" t="s">
        <v>27</v>
      </c>
      <c r="I24" s="19"/>
      <c r="J24" s="11"/>
      <c r="K24" s="20"/>
    </row>
    <row r="25" spans="1:11" ht="12.75" customHeight="1" x14ac:dyDescent="0.25">
      <c r="C25" s="11"/>
      <c r="D25" s="18"/>
      <c r="E25" s="11"/>
      <c r="F25" s="21"/>
      <c r="G25" s="22"/>
      <c r="H25" s="11"/>
      <c r="I25" s="19"/>
      <c r="J25" s="11"/>
      <c r="K25" s="20"/>
    </row>
    <row r="26" spans="1:11" ht="12.75" customHeight="1" x14ac:dyDescent="0.25">
      <c r="C26" s="11"/>
      <c r="D26" s="18"/>
      <c r="E26" s="11"/>
      <c r="F26" s="21"/>
      <c r="G26" s="22">
        <f>(G21*16)+SUM(G23:G24)</f>
        <v>101</v>
      </c>
      <c r="H26" s="22" t="s">
        <v>29</v>
      </c>
      <c r="I26" s="18"/>
      <c r="J26" s="11"/>
      <c r="K26" s="23"/>
    </row>
    <row r="27" spans="1:11" ht="12.75" customHeight="1" x14ac:dyDescent="0.25">
      <c r="C27" s="11"/>
      <c r="D27" s="18"/>
      <c r="E27" s="11"/>
      <c r="F27" s="21"/>
      <c r="G27" s="11"/>
      <c r="H27" s="22"/>
      <c r="I27" s="18"/>
      <c r="J27" s="11"/>
      <c r="K27" s="23"/>
    </row>
    <row r="28" spans="1:11" ht="12.75" customHeight="1" x14ac:dyDescent="0.25">
      <c r="C28" s="11"/>
      <c r="D28" s="18"/>
      <c r="E28" s="11"/>
      <c r="F28" s="18" t="s">
        <v>14</v>
      </c>
      <c r="G28" s="11"/>
      <c r="H28" s="11"/>
      <c r="I28" s="18">
        <f>(I21*16)+I23</f>
        <v>202.18</v>
      </c>
      <c r="J28" s="11" t="s">
        <v>13</v>
      </c>
      <c r="K28" s="23"/>
    </row>
    <row r="29" spans="1:11" ht="12.75" customHeight="1" x14ac:dyDescent="0.25">
      <c r="C29" s="11"/>
      <c r="D29" s="18"/>
      <c r="E29" s="11"/>
      <c r="F29" s="18"/>
      <c r="G29" s="11"/>
      <c r="H29" s="11"/>
      <c r="I29" s="18"/>
      <c r="J29" s="11"/>
      <c r="K29" s="23"/>
    </row>
    <row r="30" spans="1:11" ht="12.75" customHeight="1" x14ac:dyDescent="0.25">
      <c r="C30" s="11"/>
      <c r="D30" s="24"/>
      <c r="E30" s="25"/>
      <c r="F30" s="24" t="s">
        <v>15</v>
      </c>
      <c r="G30" s="25"/>
      <c r="H30" s="25"/>
      <c r="I30" s="24">
        <f>I28-5</f>
        <v>197.18</v>
      </c>
      <c r="J30" s="25" t="s">
        <v>13</v>
      </c>
      <c r="K30" s="26" t="s">
        <v>2</v>
      </c>
    </row>
    <row r="31" spans="1:11" ht="12.75" customHeight="1" x14ac:dyDescent="0.25">
      <c r="A31" s="11"/>
      <c r="B31" s="11"/>
      <c r="C31" s="11"/>
      <c r="D31" s="11" t="s">
        <v>2</v>
      </c>
      <c r="F31" s="11"/>
      <c r="G31" s="11"/>
      <c r="H31" s="27"/>
      <c r="I31" s="11"/>
      <c r="J31" s="11"/>
      <c r="K31" s="27"/>
    </row>
    <row r="32" spans="1:11" ht="12.75" customHeight="1" x14ac:dyDescent="0.25">
      <c r="F32" s="11"/>
      <c r="G32" s="11"/>
      <c r="H32" s="28"/>
      <c r="I32" s="11"/>
      <c r="J32" s="11"/>
      <c r="K32" s="28"/>
    </row>
    <row r="33" spans="6:11" ht="12.75" customHeight="1" x14ac:dyDescent="0.25">
      <c r="F33" s="11"/>
      <c r="G33" s="11"/>
      <c r="H33" s="28"/>
      <c r="I33" s="11"/>
      <c r="J33" s="11"/>
      <c r="K33" s="28"/>
    </row>
    <row r="34" spans="6:11" ht="12.75" customHeight="1" x14ac:dyDescent="0.25">
      <c r="F34" s="11"/>
      <c r="G34" s="11"/>
      <c r="H34" s="27"/>
      <c r="I34" s="11"/>
      <c r="J34" s="11"/>
      <c r="K34" s="27"/>
    </row>
    <row r="35" spans="6:11" ht="12.75" customHeight="1" x14ac:dyDescent="0.25">
      <c r="F35" s="11"/>
      <c r="G35" s="11"/>
      <c r="H35" s="28"/>
      <c r="I35" s="11"/>
      <c r="J35" s="11"/>
      <c r="K35" s="28"/>
    </row>
    <row r="36" spans="6:11" ht="12.75" customHeight="1" x14ac:dyDescent="0.25">
      <c r="F36" s="11"/>
      <c r="G36" s="11"/>
      <c r="H36" s="28"/>
      <c r="I36" s="11"/>
      <c r="J36" s="11"/>
      <c r="K36" s="27"/>
    </row>
    <row r="37" spans="6:11" ht="12.75" customHeight="1" x14ac:dyDescent="0.25">
      <c r="F37" s="11"/>
      <c r="G37" s="11"/>
      <c r="H37" s="27"/>
      <c r="I37" s="11"/>
      <c r="J37" s="11"/>
      <c r="K37" s="27"/>
    </row>
    <row r="38" spans="6:11" ht="12.75" customHeight="1" x14ac:dyDescent="0.25">
      <c r="F38" s="11"/>
      <c r="G38" s="11"/>
      <c r="H38" s="28"/>
      <c r="I38" s="11"/>
      <c r="J38" s="11"/>
      <c r="K38" s="28"/>
    </row>
    <row r="39" spans="6:11" ht="12.75" customHeight="1" x14ac:dyDescent="0.25">
      <c r="F39" s="11"/>
      <c r="G39" s="11"/>
      <c r="H39" s="28"/>
      <c r="I39" s="11"/>
      <c r="J39" s="11"/>
      <c r="K39" s="28"/>
    </row>
    <row r="40" spans="6:11" ht="12.75" customHeight="1" x14ac:dyDescent="0.25">
      <c r="F40" s="11"/>
      <c r="G40" s="11"/>
      <c r="H40" s="27"/>
      <c r="I40" s="11"/>
      <c r="J40" s="11"/>
      <c r="K40" s="27"/>
    </row>
    <row r="41" spans="6:11" ht="12.75" customHeight="1" x14ac:dyDescent="0.25">
      <c r="F41" s="11"/>
      <c r="G41" s="11"/>
      <c r="H41" s="28"/>
      <c r="I41" s="11"/>
      <c r="J41" s="11"/>
      <c r="K41" s="28"/>
    </row>
    <row r="42" spans="6:11" ht="12.75" customHeight="1" x14ac:dyDescent="0.25"/>
    <row r="43" spans="6:11" ht="12.75" customHeight="1" x14ac:dyDescent="0.25"/>
    <row r="44" spans="6:11" ht="12.75" customHeight="1" x14ac:dyDescent="0.25"/>
    <row r="45" spans="6:11" ht="12.75" customHeight="1" x14ac:dyDescent="0.25"/>
    <row r="46" spans="6:11" ht="12.75" customHeight="1" x14ac:dyDescent="0.25"/>
    <row r="47" spans="6:11" ht="12.75" customHeight="1" x14ac:dyDescent="0.25"/>
    <row r="48" spans="6:11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</sheetData>
  <mergeCells count="2">
    <mergeCell ref="D21:E21"/>
    <mergeCell ref="D23:E23"/>
  </mergeCells>
  <hyperlinks>
    <hyperlink ref="I5" r:id="rId1"/>
  </hyperlinks>
  <pageMargins left="0.70866141732283472" right="0.70866141732283472" top="0.74803149606299213" bottom="0.74803149606299213" header="0.31496062992125984" footer="0.31496062992125984"/>
  <pageSetup paperSize="9" scale="82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46"/>
  <sheetViews>
    <sheetView workbookViewId="0">
      <selection activeCell="H13" sqref="H13"/>
    </sheetView>
  </sheetViews>
  <sheetFormatPr baseColWidth="10" defaultRowHeight="15" x14ac:dyDescent="0.25"/>
  <cols>
    <col min="1" max="2" width="0.140625" customWidth="1"/>
    <col min="3" max="3" width="1.140625" customWidth="1"/>
    <col min="4" max="4" width="6.7109375" customWidth="1"/>
    <col min="5" max="5" width="5.42578125" customWidth="1"/>
    <col min="6" max="6" width="14.42578125" customWidth="1"/>
    <col min="7" max="7" width="6.140625" customWidth="1"/>
    <col min="8" max="8" width="32.5703125" customWidth="1"/>
    <col min="9" max="9" width="6.85546875" customWidth="1"/>
    <col min="10" max="10" width="7" customWidth="1"/>
    <col min="11" max="11" width="15" customWidth="1"/>
    <col min="12" max="12" width="10" customWidth="1"/>
    <col min="257" max="258" width="0.140625" customWidth="1"/>
    <col min="259" max="259" width="1.140625" customWidth="1"/>
    <col min="260" max="260" width="6.7109375" customWidth="1"/>
    <col min="261" max="261" width="5.42578125" customWidth="1"/>
    <col min="262" max="262" width="14.42578125" customWidth="1"/>
    <col min="263" max="263" width="6.140625" customWidth="1"/>
    <col min="264" max="264" width="32.5703125" customWidth="1"/>
    <col min="265" max="265" width="6.85546875" customWidth="1"/>
    <col min="266" max="266" width="7" customWidth="1"/>
    <col min="267" max="267" width="15" customWidth="1"/>
    <col min="268" max="268" width="10" customWidth="1"/>
    <col min="513" max="514" width="0.140625" customWidth="1"/>
    <col min="515" max="515" width="1.140625" customWidth="1"/>
    <col min="516" max="516" width="6.7109375" customWidth="1"/>
    <col min="517" max="517" width="5.42578125" customWidth="1"/>
    <col min="518" max="518" width="14.42578125" customWidth="1"/>
    <col min="519" max="519" width="6.140625" customWidth="1"/>
    <col min="520" max="520" width="32.5703125" customWidth="1"/>
    <col min="521" max="521" width="6.85546875" customWidth="1"/>
    <col min="522" max="522" width="7" customWidth="1"/>
    <col min="523" max="523" width="15" customWidth="1"/>
    <col min="524" max="524" width="10" customWidth="1"/>
    <col min="769" max="770" width="0.140625" customWidth="1"/>
    <col min="771" max="771" width="1.140625" customWidth="1"/>
    <col min="772" max="772" width="6.7109375" customWidth="1"/>
    <col min="773" max="773" width="5.42578125" customWidth="1"/>
    <col min="774" max="774" width="14.42578125" customWidth="1"/>
    <col min="775" max="775" width="6.140625" customWidth="1"/>
    <col min="776" max="776" width="32.5703125" customWidth="1"/>
    <col min="777" max="777" width="6.85546875" customWidth="1"/>
    <col min="778" max="778" width="7" customWidth="1"/>
    <col min="779" max="779" width="15" customWidth="1"/>
    <col min="780" max="780" width="10" customWidth="1"/>
    <col min="1025" max="1026" width="0.140625" customWidth="1"/>
    <col min="1027" max="1027" width="1.140625" customWidth="1"/>
    <col min="1028" max="1028" width="6.7109375" customWidth="1"/>
    <col min="1029" max="1029" width="5.42578125" customWidth="1"/>
    <col min="1030" max="1030" width="14.42578125" customWidth="1"/>
    <col min="1031" max="1031" width="6.140625" customWidth="1"/>
    <col min="1032" max="1032" width="32.5703125" customWidth="1"/>
    <col min="1033" max="1033" width="6.85546875" customWidth="1"/>
    <col min="1034" max="1034" width="7" customWidth="1"/>
    <col min="1035" max="1035" width="15" customWidth="1"/>
    <col min="1036" max="1036" width="10" customWidth="1"/>
    <col min="1281" max="1282" width="0.140625" customWidth="1"/>
    <col min="1283" max="1283" width="1.140625" customWidth="1"/>
    <col min="1284" max="1284" width="6.7109375" customWidth="1"/>
    <col min="1285" max="1285" width="5.42578125" customWidth="1"/>
    <col min="1286" max="1286" width="14.42578125" customWidth="1"/>
    <col min="1287" max="1287" width="6.140625" customWidth="1"/>
    <col min="1288" max="1288" width="32.5703125" customWidth="1"/>
    <col min="1289" max="1289" width="6.85546875" customWidth="1"/>
    <col min="1290" max="1290" width="7" customWidth="1"/>
    <col min="1291" max="1291" width="15" customWidth="1"/>
    <col min="1292" max="1292" width="10" customWidth="1"/>
    <col min="1537" max="1538" width="0.140625" customWidth="1"/>
    <col min="1539" max="1539" width="1.140625" customWidth="1"/>
    <col min="1540" max="1540" width="6.7109375" customWidth="1"/>
    <col min="1541" max="1541" width="5.42578125" customWidth="1"/>
    <col min="1542" max="1542" width="14.42578125" customWidth="1"/>
    <col min="1543" max="1543" width="6.140625" customWidth="1"/>
    <col min="1544" max="1544" width="32.5703125" customWidth="1"/>
    <col min="1545" max="1545" width="6.85546875" customWidth="1"/>
    <col min="1546" max="1546" width="7" customWidth="1"/>
    <col min="1547" max="1547" width="15" customWidth="1"/>
    <col min="1548" max="1548" width="10" customWidth="1"/>
    <col min="1793" max="1794" width="0.140625" customWidth="1"/>
    <col min="1795" max="1795" width="1.140625" customWidth="1"/>
    <col min="1796" max="1796" width="6.7109375" customWidth="1"/>
    <col min="1797" max="1797" width="5.42578125" customWidth="1"/>
    <col min="1798" max="1798" width="14.42578125" customWidth="1"/>
    <col min="1799" max="1799" width="6.140625" customWidth="1"/>
    <col min="1800" max="1800" width="32.5703125" customWidth="1"/>
    <col min="1801" max="1801" width="6.85546875" customWidth="1"/>
    <col min="1802" max="1802" width="7" customWidth="1"/>
    <col min="1803" max="1803" width="15" customWidth="1"/>
    <col min="1804" max="1804" width="10" customWidth="1"/>
    <col min="2049" max="2050" width="0.140625" customWidth="1"/>
    <col min="2051" max="2051" width="1.140625" customWidth="1"/>
    <col min="2052" max="2052" width="6.7109375" customWidth="1"/>
    <col min="2053" max="2053" width="5.42578125" customWidth="1"/>
    <col min="2054" max="2054" width="14.42578125" customWidth="1"/>
    <col min="2055" max="2055" width="6.140625" customWidth="1"/>
    <col min="2056" max="2056" width="32.5703125" customWidth="1"/>
    <col min="2057" max="2057" width="6.85546875" customWidth="1"/>
    <col min="2058" max="2058" width="7" customWidth="1"/>
    <col min="2059" max="2059" width="15" customWidth="1"/>
    <col min="2060" max="2060" width="10" customWidth="1"/>
    <col min="2305" max="2306" width="0.140625" customWidth="1"/>
    <col min="2307" max="2307" width="1.140625" customWidth="1"/>
    <col min="2308" max="2308" width="6.7109375" customWidth="1"/>
    <col min="2309" max="2309" width="5.42578125" customWidth="1"/>
    <col min="2310" max="2310" width="14.42578125" customWidth="1"/>
    <col min="2311" max="2311" width="6.140625" customWidth="1"/>
    <col min="2312" max="2312" width="32.5703125" customWidth="1"/>
    <col min="2313" max="2313" width="6.85546875" customWidth="1"/>
    <col min="2314" max="2314" width="7" customWidth="1"/>
    <col min="2315" max="2315" width="15" customWidth="1"/>
    <col min="2316" max="2316" width="10" customWidth="1"/>
    <col min="2561" max="2562" width="0.140625" customWidth="1"/>
    <col min="2563" max="2563" width="1.140625" customWidth="1"/>
    <col min="2564" max="2564" width="6.7109375" customWidth="1"/>
    <col min="2565" max="2565" width="5.42578125" customWidth="1"/>
    <col min="2566" max="2566" width="14.42578125" customWidth="1"/>
    <col min="2567" max="2567" width="6.140625" customWidth="1"/>
    <col min="2568" max="2568" width="32.5703125" customWidth="1"/>
    <col min="2569" max="2569" width="6.85546875" customWidth="1"/>
    <col min="2570" max="2570" width="7" customWidth="1"/>
    <col min="2571" max="2571" width="15" customWidth="1"/>
    <col min="2572" max="2572" width="10" customWidth="1"/>
    <col min="2817" max="2818" width="0.140625" customWidth="1"/>
    <col min="2819" max="2819" width="1.140625" customWidth="1"/>
    <col min="2820" max="2820" width="6.7109375" customWidth="1"/>
    <col min="2821" max="2821" width="5.42578125" customWidth="1"/>
    <col min="2822" max="2822" width="14.42578125" customWidth="1"/>
    <col min="2823" max="2823" width="6.140625" customWidth="1"/>
    <col min="2824" max="2824" width="32.5703125" customWidth="1"/>
    <col min="2825" max="2825" width="6.85546875" customWidth="1"/>
    <col min="2826" max="2826" width="7" customWidth="1"/>
    <col min="2827" max="2827" width="15" customWidth="1"/>
    <col min="2828" max="2828" width="10" customWidth="1"/>
    <col min="3073" max="3074" width="0.140625" customWidth="1"/>
    <col min="3075" max="3075" width="1.140625" customWidth="1"/>
    <col min="3076" max="3076" width="6.7109375" customWidth="1"/>
    <col min="3077" max="3077" width="5.42578125" customWidth="1"/>
    <col min="3078" max="3078" width="14.42578125" customWidth="1"/>
    <col min="3079" max="3079" width="6.140625" customWidth="1"/>
    <col min="3080" max="3080" width="32.5703125" customWidth="1"/>
    <col min="3081" max="3081" width="6.85546875" customWidth="1"/>
    <col min="3082" max="3082" width="7" customWidth="1"/>
    <col min="3083" max="3083" width="15" customWidth="1"/>
    <col min="3084" max="3084" width="10" customWidth="1"/>
    <col min="3329" max="3330" width="0.140625" customWidth="1"/>
    <col min="3331" max="3331" width="1.140625" customWidth="1"/>
    <col min="3332" max="3332" width="6.7109375" customWidth="1"/>
    <col min="3333" max="3333" width="5.42578125" customWidth="1"/>
    <col min="3334" max="3334" width="14.42578125" customWidth="1"/>
    <col min="3335" max="3335" width="6.140625" customWidth="1"/>
    <col min="3336" max="3336" width="32.5703125" customWidth="1"/>
    <col min="3337" max="3337" width="6.85546875" customWidth="1"/>
    <col min="3338" max="3338" width="7" customWidth="1"/>
    <col min="3339" max="3339" width="15" customWidth="1"/>
    <col min="3340" max="3340" width="10" customWidth="1"/>
    <col min="3585" max="3586" width="0.140625" customWidth="1"/>
    <col min="3587" max="3587" width="1.140625" customWidth="1"/>
    <col min="3588" max="3588" width="6.7109375" customWidth="1"/>
    <col min="3589" max="3589" width="5.42578125" customWidth="1"/>
    <col min="3590" max="3590" width="14.42578125" customWidth="1"/>
    <col min="3591" max="3591" width="6.140625" customWidth="1"/>
    <col min="3592" max="3592" width="32.5703125" customWidth="1"/>
    <col min="3593" max="3593" width="6.85546875" customWidth="1"/>
    <col min="3594" max="3594" width="7" customWidth="1"/>
    <col min="3595" max="3595" width="15" customWidth="1"/>
    <col min="3596" max="3596" width="10" customWidth="1"/>
    <col min="3841" max="3842" width="0.140625" customWidth="1"/>
    <col min="3843" max="3843" width="1.140625" customWidth="1"/>
    <col min="3844" max="3844" width="6.7109375" customWidth="1"/>
    <col min="3845" max="3845" width="5.42578125" customWidth="1"/>
    <col min="3846" max="3846" width="14.42578125" customWidth="1"/>
    <col min="3847" max="3847" width="6.140625" customWidth="1"/>
    <col min="3848" max="3848" width="32.5703125" customWidth="1"/>
    <col min="3849" max="3849" width="6.85546875" customWidth="1"/>
    <col min="3850" max="3850" width="7" customWidth="1"/>
    <col min="3851" max="3851" width="15" customWidth="1"/>
    <col min="3852" max="3852" width="10" customWidth="1"/>
    <col min="4097" max="4098" width="0.140625" customWidth="1"/>
    <col min="4099" max="4099" width="1.140625" customWidth="1"/>
    <col min="4100" max="4100" width="6.7109375" customWidth="1"/>
    <col min="4101" max="4101" width="5.42578125" customWidth="1"/>
    <col min="4102" max="4102" width="14.42578125" customWidth="1"/>
    <col min="4103" max="4103" width="6.140625" customWidth="1"/>
    <col min="4104" max="4104" width="32.5703125" customWidth="1"/>
    <col min="4105" max="4105" width="6.85546875" customWidth="1"/>
    <col min="4106" max="4106" width="7" customWidth="1"/>
    <col min="4107" max="4107" width="15" customWidth="1"/>
    <col min="4108" max="4108" width="10" customWidth="1"/>
    <col min="4353" max="4354" width="0.140625" customWidth="1"/>
    <col min="4355" max="4355" width="1.140625" customWidth="1"/>
    <col min="4356" max="4356" width="6.7109375" customWidth="1"/>
    <col min="4357" max="4357" width="5.42578125" customWidth="1"/>
    <col min="4358" max="4358" width="14.42578125" customWidth="1"/>
    <col min="4359" max="4359" width="6.140625" customWidth="1"/>
    <col min="4360" max="4360" width="32.5703125" customWidth="1"/>
    <col min="4361" max="4361" width="6.85546875" customWidth="1"/>
    <col min="4362" max="4362" width="7" customWidth="1"/>
    <col min="4363" max="4363" width="15" customWidth="1"/>
    <col min="4364" max="4364" width="10" customWidth="1"/>
    <col min="4609" max="4610" width="0.140625" customWidth="1"/>
    <col min="4611" max="4611" width="1.140625" customWidth="1"/>
    <col min="4612" max="4612" width="6.7109375" customWidth="1"/>
    <col min="4613" max="4613" width="5.42578125" customWidth="1"/>
    <col min="4614" max="4614" width="14.42578125" customWidth="1"/>
    <col min="4615" max="4615" width="6.140625" customWidth="1"/>
    <col min="4616" max="4616" width="32.5703125" customWidth="1"/>
    <col min="4617" max="4617" width="6.85546875" customWidth="1"/>
    <col min="4618" max="4618" width="7" customWidth="1"/>
    <col min="4619" max="4619" width="15" customWidth="1"/>
    <col min="4620" max="4620" width="10" customWidth="1"/>
    <col min="4865" max="4866" width="0.140625" customWidth="1"/>
    <col min="4867" max="4867" width="1.140625" customWidth="1"/>
    <col min="4868" max="4868" width="6.7109375" customWidth="1"/>
    <col min="4869" max="4869" width="5.42578125" customWidth="1"/>
    <col min="4870" max="4870" width="14.42578125" customWidth="1"/>
    <col min="4871" max="4871" width="6.140625" customWidth="1"/>
    <col min="4872" max="4872" width="32.5703125" customWidth="1"/>
    <col min="4873" max="4873" width="6.85546875" customWidth="1"/>
    <col min="4874" max="4874" width="7" customWidth="1"/>
    <col min="4875" max="4875" width="15" customWidth="1"/>
    <col min="4876" max="4876" width="10" customWidth="1"/>
    <col min="5121" max="5122" width="0.140625" customWidth="1"/>
    <col min="5123" max="5123" width="1.140625" customWidth="1"/>
    <col min="5124" max="5124" width="6.7109375" customWidth="1"/>
    <col min="5125" max="5125" width="5.42578125" customWidth="1"/>
    <col min="5126" max="5126" width="14.42578125" customWidth="1"/>
    <col min="5127" max="5127" width="6.140625" customWidth="1"/>
    <col min="5128" max="5128" width="32.5703125" customWidth="1"/>
    <col min="5129" max="5129" width="6.85546875" customWidth="1"/>
    <col min="5130" max="5130" width="7" customWidth="1"/>
    <col min="5131" max="5131" width="15" customWidth="1"/>
    <col min="5132" max="5132" width="10" customWidth="1"/>
    <col min="5377" max="5378" width="0.140625" customWidth="1"/>
    <col min="5379" max="5379" width="1.140625" customWidth="1"/>
    <col min="5380" max="5380" width="6.7109375" customWidth="1"/>
    <col min="5381" max="5381" width="5.42578125" customWidth="1"/>
    <col min="5382" max="5382" width="14.42578125" customWidth="1"/>
    <col min="5383" max="5383" width="6.140625" customWidth="1"/>
    <col min="5384" max="5384" width="32.5703125" customWidth="1"/>
    <col min="5385" max="5385" width="6.85546875" customWidth="1"/>
    <col min="5386" max="5386" width="7" customWidth="1"/>
    <col min="5387" max="5387" width="15" customWidth="1"/>
    <col min="5388" max="5388" width="10" customWidth="1"/>
    <col min="5633" max="5634" width="0.140625" customWidth="1"/>
    <col min="5635" max="5635" width="1.140625" customWidth="1"/>
    <col min="5636" max="5636" width="6.7109375" customWidth="1"/>
    <col min="5637" max="5637" width="5.42578125" customWidth="1"/>
    <col min="5638" max="5638" width="14.42578125" customWidth="1"/>
    <col min="5639" max="5639" width="6.140625" customWidth="1"/>
    <col min="5640" max="5640" width="32.5703125" customWidth="1"/>
    <col min="5641" max="5641" width="6.85546875" customWidth="1"/>
    <col min="5642" max="5642" width="7" customWidth="1"/>
    <col min="5643" max="5643" width="15" customWidth="1"/>
    <col min="5644" max="5644" width="10" customWidth="1"/>
    <col min="5889" max="5890" width="0.140625" customWidth="1"/>
    <col min="5891" max="5891" width="1.140625" customWidth="1"/>
    <col min="5892" max="5892" width="6.7109375" customWidth="1"/>
    <col min="5893" max="5893" width="5.42578125" customWidth="1"/>
    <col min="5894" max="5894" width="14.42578125" customWidth="1"/>
    <col min="5895" max="5895" width="6.140625" customWidth="1"/>
    <col min="5896" max="5896" width="32.5703125" customWidth="1"/>
    <col min="5897" max="5897" width="6.85546875" customWidth="1"/>
    <col min="5898" max="5898" width="7" customWidth="1"/>
    <col min="5899" max="5899" width="15" customWidth="1"/>
    <col min="5900" max="5900" width="10" customWidth="1"/>
    <col min="6145" max="6146" width="0.140625" customWidth="1"/>
    <col min="6147" max="6147" width="1.140625" customWidth="1"/>
    <col min="6148" max="6148" width="6.7109375" customWidth="1"/>
    <col min="6149" max="6149" width="5.42578125" customWidth="1"/>
    <col min="6150" max="6150" width="14.42578125" customWidth="1"/>
    <col min="6151" max="6151" width="6.140625" customWidth="1"/>
    <col min="6152" max="6152" width="32.5703125" customWidth="1"/>
    <col min="6153" max="6153" width="6.85546875" customWidth="1"/>
    <col min="6154" max="6154" width="7" customWidth="1"/>
    <col min="6155" max="6155" width="15" customWidth="1"/>
    <col min="6156" max="6156" width="10" customWidth="1"/>
    <col min="6401" max="6402" width="0.140625" customWidth="1"/>
    <col min="6403" max="6403" width="1.140625" customWidth="1"/>
    <col min="6404" max="6404" width="6.7109375" customWidth="1"/>
    <col min="6405" max="6405" width="5.42578125" customWidth="1"/>
    <col min="6406" max="6406" width="14.42578125" customWidth="1"/>
    <col min="6407" max="6407" width="6.140625" customWidth="1"/>
    <col min="6408" max="6408" width="32.5703125" customWidth="1"/>
    <col min="6409" max="6409" width="6.85546875" customWidth="1"/>
    <col min="6410" max="6410" width="7" customWidth="1"/>
    <col min="6411" max="6411" width="15" customWidth="1"/>
    <col min="6412" max="6412" width="10" customWidth="1"/>
    <col min="6657" max="6658" width="0.140625" customWidth="1"/>
    <col min="6659" max="6659" width="1.140625" customWidth="1"/>
    <col min="6660" max="6660" width="6.7109375" customWidth="1"/>
    <col min="6661" max="6661" width="5.42578125" customWidth="1"/>
    <col min="6662" max="6662" width="14.42578125" customWidth="1"/>
    <col min="6663" max="6663" width="6.140625" customWidth="1"/>
    <col min="6664" max="6664" width="32.5703125" customWidth="1"/>
    <col min="6665" max="6665" width="6.85546875" customWidth="1"/>
    <col min="6666" max="6666" width="7" customWidth="1"/>
    <col min="6667" max="6667" width="15" customWidth="1"/>
    <col min="6668" max="6668" width="10" customWidth="1"/>
    <col min="6913" max="6914" width="0.140625" customWidth="1"/>
    <col min="6915" max="6915" width="1.140625" customWidth="1"/>
    <col min="6916" max="6916" width="6.7109375" customWidth="1"/>
    <col min="6917" max="6917" width="5.42578125" customWidth="1"/>
    <col min="6918" max="6918" width="14.42578125" customWidth="1"/>
    <col min="6919" max="6919" width="6.140625" customWidth="1"/>
    <col min="6920" max="6920" width="32.5703125" customWidth="1"/>
    <col min="6921" max="6921" width="6.85546875" customWidth="1"/>
    <col min="6922" max="6922" width="7" customWidth="1"/>
    <col min="6923" max="6923" width="15" customWidth="1"/>
    <col min="6924" max="6924" width="10" customWidth="1"/>
    <col min="7169" max="7170" width="0.140625" customWidth="1"/>
    <col min="7171" max="7171" width="1.140625" customWidth="1"/>
    <col min="7172" max="7172" width="6.7109375" customWidth="1"/>
    <col min="7173" max="7173" width="5.42578125" customWidth="1"/>
    <col min="7174" max="7174" width="14.42578125" customWidth="1"/>
    <col min="7175" max="7175" width="6.140625" customWidth="1"/>
    <col min="7176" max="7176" width="32.5703125" customWidth="1"/>
    <col min="7177" max="7177" width="6.85546875" customWidth="1"/>
    <col min="7178" max="7178" width="7" customWidth="1"/>
    <col min="7179" max="7179" width="15" customWidth="1"/>
    <col min="7180" max="7180" width="10" customWidth="1"/>
    <col min="7425" max="7426" width="0.140625" customWidth="1"/>
    <col min="7427" max="7427" width="1.140625" customWidth="1"/>
    <col min="7428" max="7428" width="6.7109375" customWidth="1"/>
    <col min="7429" max="7429" width="5.42578125" customWidth="1"/>
    <col min="7430" max="7430" width="14.42578125" customWidth="1"/>
    <col min="7431" max="7431" width="6.140625" customWidth="1"/>
    <col min="7432" max="7432" width="32.5703125" customWidth="1"/>
    <col min="7433" max="7433" width="6.85546875" customWidth="1"/>
    <col min="7434" max="7434" width="7" customWidth="1"/>
    <col min="7435" max="7435" width="15" customWidth="1"/>
    <col min="7436" max="7436" width="10" customWidth="1"/>
    <col min="7681" max="7682" width="0.140625" customWidth="1"/>
    <col min="7683" max="7683" width="1.140625" customWidth="1"/>
    <col min="7684" max="7684" width="6.7109375" customWidth="1"/>
    <col min="7685" max="7685" width="5.42578125" customWidth="1"/>
    <col min="7686" max="7686" width="14.42578125" customWidth="1"/>
    <col min="7687" max="7687" width="6.140625" customWidth="1"/>
    <col min="7688" max="7688" width="32.5703125" customWidth="1"/>
    <col min="7689" max="7689" width="6.85546875" customWidth="1"/>
    <col min="7690" max="7690" width="7" customWidth="1"/>
    <col min="7691" max="7691" width="15" customWidth="1"/>
    <col min="7692" max="7692" width="10" customWidth="1"/>
    <col min="7937" max="7938" width="0.140625" customWidth="1"/>
    <col min="7939" max="7939" width="1.140625" customWidth="1"/>
    <col min="7940" max="7940" width="6.7109375" customWidth="1"/>
    <col min="7941" max="7941" width="5.42578125" customWidth="1"/>
    <col min="7942" max="7942" width="14.42578125" customWidth="1"/>
    <col min="7943" max="7943" width="6.140625" customWidth="1"/>
    <col min="7944" max="7944" width="32.5703125" customWidth="1"/>
    <col min="7945" max="7945" width="6.85546875" customWidth="1"/>
    <col min="7946" max="7946" width="7" customWidth="1"/>
    <col min="7947" max="7947" width="15" customWidth="1"/>
    <col min="7948" max="7948" width="10" customWidth="1"/>
    <col min="8193" max="8194" width="0.140625" customWidth="1"/>
    <col min="8195" max="8195" width="1.140625" customWidth="1"/>
    <col min="8196" max="8196" width="6.7109375" customWidth="1"/>
    <col min="8197" max="8197" width="5.42578125" customWidth="1"/>
    <col min="8198" max="8198" width="14.42578125" customWidth="1"/>
    <col min="8199" max="8199" width="6.140625" customWidth="1"/>
    <col min="8200" max="8200" width="32.5703125" customWidth="1"/>
    <col min="8201" max="8201" width="6.85546875" customWidth="1"/>
    <col min="8202" max="8202" width="7" customWidth="1"/>
    <col min="8203" max="8203" width="15" customWidth="1"/>
    <col min="8204" max="8204" width="10" customWidth="1"/>
    <col min="8449" max="8450" width="0.140625" customWidth="1"/>
    <col min="8451" max="8451" width="1.140625" customWidth="1"/>
    <col min="8452" max="8452" width="6.7109375" customWidth="1"/>
    <col min="8453" max="8453" width="5.42578125" customWidth="1"/>
    <col min="8454" max="8454" width="14.42578125" customWidth="1"/>
    <col min="8455" max="8455" width="6.140625" customWidth="1"/>
    <col min="8456" max="8456" width="32.5703125" customWidth="1"/>
    <col min="8457" max="8457" width="6.85546875" customWidth="1"/>
    <col min="8458" max="8458" width="7" customWidth="1"/>
    <col min="8459" max="8459" width="15" customWidth="1"/>
    <col min="8460" max="8460" width="10" customWidth="1"/>
    <col min="8705" max="8706" width="0.140625" customWidth="1"/>
    <col min="8707" max="8707" width="1.140625" customWidth="1"/>
    <col min="8708" max="8708" width="6.7109375" customWidth="1"/>
    <col min="8709" max="8709" width="5.42578125" customWidth="1"/>
    <col min="8710" max="8710" width="14.42578125" customWidth="1"/>
    <col min="8711" max="8711" width="6.140625" customWidth="1"/>
    <col min="8712" max="8712" width="32.5703125" customWidth="1"/>
    <col min="8713" max="8713" width="6.85546875" customWidth="1"/>
    <col min="8714" max="8714" width="7" customWidth="1"/>
    <col min="8715" max="8715" width="15" customWidth="1"/>
    <col min="8716" max="8716" width="10" customWidth="1"/>
    <col min="8961" max="8962" width="0.140625" customWidth="1"/>
    <col min="8963" max="8963" width="1.140625" customWidth="1"/>
    <col min="8964" max="8964" width="6.7109375" customWidth="1"/>
    <col min="8965" max="8965" width="5.42578125" customWidth="1"/>
    <col min="8966" max="8966" width="14.42578125" customWidth="1"/>
    <col min="8967" max="8967" width="6.140625" customWidth="1"/>
    <col min="8968" max="8968" width="32.5703125" customWidth="1"/>
    <col min="8969" max="8969" width="6.85546875" customWidth="1"/>
    <col min="8970" max="8970" width="7" customWidth="1"/>
    <col min="8971" max="8971" width="15" customWidth="1"/>
    <col min="8972" max="8972" width="10" customWidth="1"/>
    <col min="9217" max="9218" width="0.140625" customWidth="1"/>
    <col min="9219" max="9219" width="1.140625" customWidth="1"/>
    <col min="9220" max="9220" width="6.7109375" customWidth="1"/>
    <col min="9221" max="9221" width="5.42578125" customWidth="1"/>
    <col min="9222" max="9222" width="14.42578125" customWidth="1"/>
    <col min="9223" max="9223" width="6.140625" customWidth="1"/>
    <col min="9224" max="9224" width="32.5703125" customWidth="1"/>
    <col min="9225" max="9225" width="6.85546875" customWidth="1"/>
    <col min="9226" max="9226" width="7" customWidth="1"/>
    <col min="9227" max="9227" width="15" customWidth="1"/>
    <col min="9228" max="9228" width="10" customWidth="1"/>
    <col min="9473" max="9474" width="0.140625" customWidth="1"/>
    <col min="9475" max="9475" width="1.140625" customWidth="1"/>
    <col min="9476" max="9476" width="6.7109375" customWidth="1"/>
    <col min="9477" max="9477" width="5.42578125" customWidth="1"/>
    <col min="9478" max="9478" width="14.42578125" customWidth="1"/>
    <col min="9479" max="9479" width="6.140625" customWidth="1"/>
    <col min="9480" max="9480" width="32.5703125" customWidth="1"/>
    <col min="9481" max="9481" width="6.85546875" customWidth="1"/>
    <col min="9482" max="9482" width="7" customWidth="1"/>
    <col min="9483" max="9483" width="15" customWidth="1"/>
    <col min="9484" max="9484" width="10" customWidth="1"/>
    <col min="9729" max="9730" width="0.140625" customWidth="1"/>
    <col min="9731" max="9731" width="1.140625" customWidth="1"/>
    <col min="9732" max="9732" width="6.7109375" customWidth="1"/>
    <col min="9733" max="9733" width="5.42578125" customWidth="1"/>
    <col min="9734" max="9734" width="14.42578125" customWidth="1"/>
    <col min="9735" max="9735" width="6.140625" customWidth="1"/>
    <col min="9736" max="9736" width="32.5703125" customWidth="1"/>
    <col min="9737" max="9737" width="6.85546875" customWidth="1"/>
    <col min="9738" max="9738" width="7" customWidth="1"/>
    <col min="9739" max="9739" width="15" customWidth="1"/>
    <col min="9740" max="9740" width="10" customWidth="1"/>
    <col min="9985" max="9986" width="0.140625" customWidth="1"/>
    <col min="9987" max="9987" width="1.140625" customWidth="1"/>
    <col min="9988" max="9988" width="6.7109375" customWidth="1"/>
    <col min="9989" max="9989" width="5.42578125" customWidth="1"/>
    <col min="9990" max="9990" width="14.42578125" customWidth="1"/>
    <col min="9991" max="9991" width="6.140625" customWidth="1"/>
    <col min="9992" max="9992" width="32.5703125" customWidth="1"/>
    <col min="9993" max="9993" width="6.85546875" customWidth="1"/>
    <col min="9994" max="9994" width="7" customWidth="1"/>
    <col min="9995" max="9995" width="15" customWidth="1"/>
    <col min="9996" max="9996" width="10" customWidth="1"/>
    <col min="10241" max="10242" width="0.140625" customWidth="1"/>
    <col min="10243" max="10243" width="1.140625" customWidth="1"/>
    <col min="10244" max="10244" width="6.7109375" customWidth="1"/>
    <col min="10245" max="10245" width="5.42578125" customWidth="1"/>
    <col min="10246" max="10246" width="14.42578125" customWidth="1"/>
    <col min="10247" max="10247" width="6.140625" customWidth="1"/>
    <col min="10248" max="10248" width="32.5703125" customWidth="1"/>
    <col min="10249" max="10249" width="6.85546875" customWidth="1"/>
    <col min="10250" max="10250" width="7" customWidth="1"/>
    <col min="10251" max="10251" width="15" customWidth="1"/>
    <col min="10252" max="10252" width="10" customWidth="1"/>
    <col min="10497" max="10498" width="0.140625" customWidth="1"/>
    <col min="10499" max="10499" width="1.140625" customWidth="1"/>
    <col min="10500" max="10500" width="6.7109375" customWidth="1"/>
    <col min="10501" max="10501" width="5.42578125" customWidth="1"/>
    <col min="10502" max="10502" width="14.42578125" customWidth="1"/>
    <col min="10503" max="10503" width="6.140625" customWidth="1"/>
    <col min="10504" max="10504" width="32.5703125" customWidth="1"/>
    <col min="10505" max="10505" width="6.85546875" customWidth="1"/>
    <col min="10506" max="10506" width="7" customWidth="1"/>
    <col min="10507" max="10507" width="15" customWidth="1"/>
    <col min="10508" max="10508" width="10" customWidth="1"/>
    <col min="10753" max="10754" width="0.140625" customWidth="1"/>
    <col min="10755" max="10755" width="1.140625" customWidth="1"/>
    <col min="10756" max="10756" width="6.7109375" customWidth="1"/>
    <col min="10757" max="10757" width="5.42578125" customWidth="1"/>
    <col min="10758" max="10758" width="14.42578125" customWidth="1"/>
    <col min="10759" max="10759" width="6.140625" customWidth="1"/>
    <col min="10760" max="10760" width="32.5703125" customWidth="1"/>
    <col min="10761" max="10761" width="6.85546875" customWidth="1"/>
    <col min="10762" max="10762" width="7" customWidth="1"/>
    <col min="10763" max="10763" width="15" customWidth="1"/>
    <col min="10764" max="10764" width="10" customWidth="1"/>
    <col min="11009" max="11010" width="0.140625" customWidth="1"/>
    <col min="11011" max="11011" width="1.140625" customWidth="1"/>
    <col min="11012" max="11012" width="6.7109375" customWidth="1"/>
    <col min="11013" max="11013" width="5.42578125" customWidth="1"/>
    <col min="11014" max="11014" width="14.42578125" customWidth="1"/>
    <col min="11015" max="11015" width="6.140625" customWidth="1"/>
    <col min="11016" max="11016" width="32.5703125" customWidth="1"/>
    <col min="11017" max="11017" width="6.85546875" customWidth="1"/>
    <col min="11018" max="11018" width="7" customWidth="1"/>
    <col min="11019" max="11019" width="15" customWidth="1"/>
    <col min="11020" max="11020" width="10" customWidth="1"/>
    <col min="11265" max="11266" width="0.140625" customWidth="1"/>
    <col min="11267" max="11267" width="1.140625" customWidth="1"/>
    <col min="11268" max="11268" width="6.7109375" customWidth="1"/>
    <col min="11269" max="11269" width="5.42578125" customWidth="1"/>
    <col min="11270" max="11270" width="14.42578125" customWidth="1"/>
    <col min="11271" max="11271" width="6.140625" customWidth="1"/>
    <col min="11272" max="11272" width="32.5703125" customWidth="1"/>
    <col min="11273" max="11273" width="6.85546875" customWidth="1"/>
    <col min="11274" max="11274" width="7" customWidth="1"/>
    <col min="11275" max="11275" width="15" customWidth="1"/>
    <col min="11276" max="11276" width="10" customWidth="1"/>
    <col min="11521" max="11522" width="0.140625" customWidth="1"/>
    <col min="11523" max="11523" width="1.140625" customWidth="1"/>
    <col min="11524" max="11524" width="6.7109375" customWidth="1"/>
    <col min="11525" max="11525" width="5.42578125" customWidth="1"/>
    <col min="11526" max="11526" width="14.42578125" customWidth="1"/>
    <col min="11527" max="11527" width="6.140625" customWidth="1"/>
    <col min="11528" max="11528" width="32.5703125" customWidth="1"/>
    <col min="11529" max="11529" width="6.85546875" customWidth="1"/>
    <col min="11530" max="11530" width="7" customWidth="1"/>
    <col min="11531" max="11531" width="15" customWidth="1"/>
    <col min="11532" max="11532" width="10" customWidth="1"/>
    <col min="11777" max="11778" width="0.140625" customWidth="1"/>
    <col min="11779" max="11779" width="1.140625" customWidth="1"/>
    <col min="11780" max="11780" width="6.7109375" customWidth="1"/>
    <col min="11781" max="11781" width="5.42578125" customWidth="1"/>
    <col min="11782" max="11782" width="14.42578125" customWidth="1"/>
    <col min="11783" max="11783" width="6.140625" customWidth="1"/>
    <col min="11784" max="11784" width="32.5703125" customWidth="1"/>
    <col min="11785" max="11785" width="6.85546875" customWidth="1"/>
    <col min="11786" max="11786" width="7" customWidth="1"/>
    <col min="11787" max="11787" width="15" customWidth="1"/>
    <col min="11788" max="11788" width="10" customWidth="1"/>
    <col min="12033" max="12034" width="0.140625" customWidth="1"/>
    <col min="12035" max="12035" width="1.140625" customWidth="1"/>
    <col min="12036" max="12036" width="6.7109375" customWidth="1"/>
    <col min="12037" max="12037" width="5.42578125" customWidth="1"/>
    <col min="12038" max="12038" width="14.42578125" customWidth="1"/>
    <col min="12039" max="12039" width="6.140625" customWidth="1"/>
    <col min="12040" max="12040" width="32.5703125" customWidth="1"/>
    <col min="12041" max="12041" width="6.85546875" customWidth="1"/>
    <col min="12042" max="12042" width="7" customWidth="1"/>
    <col min="12043" max="12043" width="15" customWidth="1"/>
    <col min="12044" max="12044" width="10" customWidth="1"/>
    <col min="12289" max="12290" width="0.140625" customWidth="1"/>
    <col min="12291" max="12291" width="1.140625" customWidth="1"/>
    <col min="12292" max="12292" width="6.7109375" customWidth="1"/>
    <col min="12293" max="12293" width="5.42578125" customWidth="1"/>
    <col min="12294" max="12294" width="14.42578125" customWidth="1"/>
    <col min="12295" max="12295" width="6.140625" customWidth="1"/>
    <col min="12296" max="12296" width="32.5703125" customWidth="1"/>
    <col min="12297" max="12297" width="6.85546875" customWidth="1"/>
    <col min="12298" max="12298" width="7" customWidth="1"/>
    <col min="12299" max="12299" width="15" customWidth="1"/>
    <col min="12300" max="12300" width="10" customWidth="1"/>
    <col min="12545" max="12546" width="0.140625" customWidth="1"/>
    <col min="12547" max="12547" width="1.140625" customWidth="1"/>
    <col min="12548" max="12548" width="6.7109375" customWidth="1"/>
    <col min="12549" max="12549" width="5.42578125" customWidth="1"/>
    <col min="12550" max="12550" width="14.42578125" customWidth="1"/>
    <col min="12551" max="12551" width="6.140625" customWidth="1"/>
    <col min="12552" max="12552" width="32.5703125" customWidth="1"/>
    <col min="12553" max="12553" width="6.85546875" customWidth="1"/>
    <col min="12554" max="12554" width="7" customWidth="1"/>
    <col min="12555" max="12555" width="15" customWidth="1"/>
    <col min="12556" max="12556" width="10" customWidth="1"/>
    <col min="12801" max="12802" width="0.140625" customWidth="1"/>
    <col min="12803" max="12803" width="1.140625" customWidth="1"/>
    <col min="12804" max="12804" width="6.7109375" customWidth="1"/>
    <col min="12805" max="12805" width="5.42578125" customWidth="1"/>
    <col min="12806" max="12806" width="14.42578125" customWidth="1"/>
    <col min="12807" max="12807" width="6.140625" customWidth="1"/>
    <col min="12808" max="12808" width="32.5703125" customWidth="1"/>
    <col min="12809" max="12809" width="6.85546875" customWidth="1"/>
    <col min="12810" max="12810" width="7" customWidth="1"/>
    <col min="12811" max="12811" width="15" customWidth="1"/>
    <col min="12812" max="12812" width="10" customWidth="1"/>
    <col min="13057" max="13058" width="0.140625" customWidth="1"/>
    <col min="13059" max="13059" width="1.140625" customWidth="1"/>
    <col min="13060" max="13060" width="6.7109375" customWidth="1"/>
    <col min="13061" max="13061" width="5.42578125" customWidth="1"/>
    <col min="13062" max="13062" width="14.42578125" customWidth="1"/>
    <col min="13063" max="13063" width="6.140625" customWidth="1"/>
    <col min="13064" max="13064" width="32.5703125" customWidth="1"/>
    <col min="13065" max="13065" width="6.85546875" customWidth="1"/>
    <col min="13066" max="13066" width="7" customWidth="1"/>
    <col min="13067" max="13067" width="15" customWidth="1"/>
    <col min="13068" max="13068" width="10" customWidth="1"/>
    <col min="13313" max="13314" width="0.140625" customWidth="1"/>
    <col min="13315" max="13315" width="1.140625" customWidth="1"/>
    <col min="13316" max="13316" width="6.7109375" customWidth="1"/>
    <col min="13317" max="13317" width="5.42578125" customWidth="1"/>
    <col min="13318" max="13318" width="14.42578125" customWidth="1"/>
    <col min="13319" max="13319" width="6.140625" customWidth="1"/>
    <col min="13320" max="13320" width="32.5703125" customWidth="1"/>
    <col min="13321" max="13321" width="6.85546875" customWidth="1"/>
    <col min="13322" max="13322" width="7" customWidth="1"/>
    <col min="13323" max="13323" width="15" customWidth="1"/>
    <col min="13324" max="13324" width="10" customWidth="1"/>
    <col min="13569" max="13570" width="0.140625" customWidth="1"/>
    <col min="13571" max="13571" width="1.140625" customWidth="1"/>
    <col min="13572" max="13572" width="6.7109375" customWidth="1"/>
    <col min="13573" max="13573" width="5.42578125" customWidth="1"/>
    <col min="13574" max="13574" width="14.42578125" customWidth="1"/>
    <col min="13575" max="13575" width="6.140625" customWidth="1"/>
    <col min="13576" max="13576" width="32.5703125" customWidth="1"/>
    <col min="13577" max="13577" width="6.85546875" customWidth="1"/>
    <col min="13578" max="13578" width="7" customWidth="1"/>
    <col min="13579" max="13579" width="15" customWidth="1"/>
    <col min="13580" max="13580" width="10" customWidth="1"/>
    <col min="13825" max="13826" width="0.140625" customWidth="1"/>
    <col min="13827" max="13827" width="1.140625" customWidth="1"/>
    <col min="13828" max="13828" width="6.7109375" customWidth="1"/>
    <col min="13829" max="13829" width="5.42578125" customWidth="1"/>
    <col min="13830" max="13830" width="14.42578125" customWidth="1"/>
    <col min="13831" max="13831" width="6.140625" customWidth="1"/>
    <col min="13832" max="13832" width="32.5703125" customWidth="1"/>
    <col min="13833" max="13833" width="6.85546875" customWidth="1"/>
    <col min="13834" max="13834" width="7" customWidth="1"/>
    <col min="13835" max="13835" width="15" customWidth="1"/>
    <col min="13836" max="13836" width="10" customWidth="1"/>
    <col min="14081" max="14082" width="0.140625" customWidth="1"/>
    <col min="14083" max="14083" width="1.140625" customWidth="1"/>
    <col min="14084" max="14084" width="6.7109375" customWidth="1"/>
    <col min="14085" max="14085" width="5.42578125" customWidth="1"/>
    <col min="14086" max="14086" width="14.42578125" customWidth="1"/>
    <col min="14087" max="14087" width="6.140625" customWidth="1"/>
    <col min="14088" max="14088" width="32.5703125" customWidth="1"/>
    <col min="14089" max="14089" width="6.85546875" customWidth="1"/>
    <col min="14090" max="14090" width="7" customWidth="1"/>
    <col min="14091" max="14091" width="15" customWidth="1"/>
    <col min="14092" max="14092" width="10" customWidth="1"/>
    <col min="14337" max="14338" width="0.140625" customWidth="1"/>
    <col min="14339" max="14339" width="1.140625" customWidth="1"/>
    <col min="14340" max="14340" width="6.7109375" customWidth="1"/>
    <col min="14341" max="14341" width="5.42578125" customWidth="1"/>
    <col min="14342" max="14342" width="14.42578125" customWidth="1"/>
    <col min="14343" max="14343" width="6.140625" customWidth="1"/>
    <col min="14344" max="14344" width="32.5703125" customWidth="1"/>
    <col min="14345" max="14345" width="6.85546875" customWidth="1"/>
    <col min="14346" max="14346" width="7" customWidth="1"/>
    <col min="14347" max="14347" width="15" customWidth="1"/>
    <col min="14348" max="14348" width="10" customWidth="1"/>
    <col min="14593" max="14594" width="0.140625" customWidth="1"/>
    <col min="14595" max="14595" width="1.140625" customWidth="1"/>
    <col min="14596" max="14596" width="6.7109375" customWidth="1"/>
    <col min="14597" max="14597" width="5.42578125" customWidth="1"/>
    <col min="14598" max="14598" width="14.42578125" customWidth="1"/>
    <col min="14599" max="14599" width="6.140625" customWidth="1"/>
    <col min="14600" max="14600" width="32.5703125" customWidth="1"/>
    <col min="14601" max="14601" width="6.85546875" customWidth="1"/>
    <col min="14602" max="14602" width="7" customWidth="1"/>
    <col min="14603" max="14603" width="15" customWidth="1"/>
    <col min="14604" max="14604" width="10" customWidth="1"/>
    <col min="14849" max="14850" width="0.140625" customWidth="1"/>
    <col min="14851" max="14851" width="1.140625" customWidth="1"/>
    <col min="14852" max="14852" width="6.7109375" customWidth="1"/>
    <col min="14853" max="14853" width="5.42578125" customWidth="1"/>
    <col min="14854" max="14854" width="14.42578125" customWidth="1"/>
    <col min="14855" max="14855" width="6.140625" customWidth="1"/>
    <col min="14856" max="14856" width="32.5703125" customWidth="1"/>
    <col min="14857" max="14857" width="6.85546875" customWidth="1"/>
    <col min="14858" max="14858" width="7" customWidth="1"/>
    <col min="14859" max="14859" width="15" customWidth="1"/>
    <col min="14860" max="14860" width="10" customWidth="1"/>
    <col min="15105" max="15106" width="0.140625" customWidth="1"/>
    <col min="15107" max="15107" width="1.140625" customWidth="1"/>
    <col min="15108" max="15108" width="6.7109375" customWidth="1"/>
    <col min="15109" max="15109" width="5.42578125" customWidth="1"/>
    <col min="15110" max="15110" width="14.42578125" customWidth="1"/>
    <col min="15111" max="15111" width="6.140625" customWidth="1"/>
    <col min="15112" max="15112" width="32.5703125" customWidth="1"/>
    <col min="15113" max="15113" width="6.85546875" customWidth="1"/>
    <col min="15114" max="15114" width="7" customWidth="1"/>
    <col min="15115" max="15115" width="15" customWidth="1"/>
    <col min="15116" max="15116" width="10" customWidth="1"/>
    <col min="15361" max="15362" width="0.140625" customWidth="1"/>
    <col min="15363" max="15363" width="1.140625" customWidth="1"/>
    <col min="15364" max="15364" width="6.7109375" customWidth="1"/>
    <col min="15365" max="15365" width="5.42578125" customWidth="1"/>
    <col min="15366" max="15366" width="14.42578125" customWidth="1"/>
    <col min="15367" max="15367" width="6.140625" customWidth="1"/>
    <col min="15368" max="15368" width="32.5703125" customWidth="1"/>
    <col min="15369" max="15369" width="6.85546875" customWidth="1"/>
    <col min="15370" max="15370" width="7" customWidth="1"/>
    <col min="15371" max="15371" width="15" customWidth="1"/>
    <col min="15372" max="15372" width="10" customWidth="1"/>
    <col min="15617" max="15618" width="0.140625" customWidth="1"/>
    <col min="15619" max="15619" width="1.140625" customWidth="1"/>
    <col min="15620" max="15620" width="6.7109375" customWidth="1"/>
    <col min="15621" max="15621" width="5.42578125" customWidth="1"/>
    <col min="15622" max="15622" width="14.42578125" customWidth="1"/>
    <col min="15623" max="15623" width="6.140625" customWidth="1"/>
    <col min="15624" max="15624" width="32.5703125" customWidth="1"/>
    <col min="15625" max="15625" width="6.85546875" customWidth="1"/>
    <col min="15626" max="15626" width="7" customWidth="1"/>
    <col min="15627" max="15627" width="15" customWidth="1"/>
    <col min="15628" max="15628" width="10" customWidth="1"/>
    <col min="15873" max="15874" width="0.140625" customWidth="1"/>
    <col min="15875" max="15875" width="1.140625" customWidth="1"/>
    <col min="15876" max="15876" width="6.7109375" customWidth="1"/>
    <col min="15877" max="15877" width="5.42578125" customWidth="1"/>
    <col min="15878" max="15878" width="14.42578125" customWidth="1"/>
    <col min="15879" max="15879" width="6.140625" customWidth="1"/>
    <col min="15880" max="15880" width="32.5703125" customWidth="1"/>
    <col min="15881" max="15881" width="6.85546875" customWidth="1"/>
    <col min="15882" max="15882" width="7" customWidth="1"/>
    <col min="15883" max="15883" width="15" customWidth="1"/>
    <col min="15884" max="15884" width="10" customWidth="1"/>
    <col min="16129" max="16130" width="0.140625" customWidth="1"/>
    <col min="16131" max="16131" width="1.140625" customWidth="1"/>
    <col min="16132" max="16132" width="6.7109375" customWidth="1"/>
    <col min="16133" max="16133" width="5.42578125" customWidth="1"/>
    <col min="16134" max="16134" width="14.42578125" customWidth="1"/>
    <col min="16135" max="16135" width="6.140625" customWidth="1"/>
    <col min="16136" max="16136" width="32.5703125" customWidth="1"/>
    <col min="16137" max="16137" width="6.85546875" customWidth="1"/>
    <col min="16138" max="16138" width="7" customWidth="1"/>
    <col min="16139" max="16139" width="15" customWidth="1"/>
    <col min="16140" max="16140" width="10" customWidth="1"/>
  </cols>
  <sheetData>
    <row r="1" spans="4:12" ht="3.75" customHeight="1" x14ac:dyDescent="0.25"/>
    <row r="2" spans="4:12" x14ac:dyDescent="0.25">
      <c r="I2" s="1" t="s">
        <v>19</v>
      </c>
      <c r="J2" s="1"/>
      <c r="K2" s="1"/>
      <c r="L2" s="1"/>
    </row>
    <row r="3" spans="4:12" ht="12" customHeight="1" x14ac:dyDescent="0.25">
      <c r="I3" t="s">
        <v>20</v>
      </c>
    </row>
    <row r="4" spans="4:12" ht="15" customHeight="1" x14ac:dyDescent="0.25">
      <c r="I4" s="2" t="s">
        <v>0</v>
      </c>
    </row>
    <row r="5" spans="4:12" x14ac:dyDescent="0.25">
      <c r="I5" s="29" t="s">
        <v>22</v>
      </c>
    </row>
    <row r="6" spans="4:12" x14ac:dyDescent="0.25">
      <c r="I6" t="s">
        <v>21</v>
      </c>
    </row>
    <row r="7" spans="4:12" x14ac:dyDescent="0.25">
      <c r="I7" t="s">
        <v>1</v>
      </c>
    </row>
    <row r="9" spans="4:12" ht="15.95" customHeight="1" x14ac:dyDescent="0.25">
      <c r="D9" t="s">
        <v>2</v>
      </c>
      <c r="E9" t="s">
        <v>2</v>
      </c>
      <c r="F9" s="3" t="s">
        <v>3</v>
      </c>
    </row>
    <row r="10" spans="4:12" ht="9.9499999999999993" customHeight="1" x14ac:dyDescent="0.25">
      <c r="F10" s="4"/>
    </row>
    <row r="11" spans="4:12" ht="12.75" customHeight="1" x14ac:dyDescent="0.25">
      <c r="D11" t="s">
        <v>4</v>
      </c>
      <c r="H11" s="5" t="s">
        <v>16</v>
      </c>
      <c r="I11" s="6"/>
    </row>
    <row r="12" spans="4:12" ht="9.9499999999999993" customHeight="1" x14ac:dyDescent="0.25"/>
    <row r="13" spans="4:12" ht="12.75" customHeight="1" x14ac:dyDescent="0.25">
      <c r="D13" t="s">
        <v>5</v>
      </c>
      <c r="H13" s="7" t="s">
        <v>17</v>
      </c>
      <c r="I13" s="6"/>
    </row>
    <row r="14" spans="4:12" ht="9.9499999999999993" customHeight="1" x14ac:dyDescent="0.25"/>
    <row r="15" spans="4:12" ht="12.75" customHeight="1" x14ac:dyDescent="0.25">
      <c r="D15" t="s">
        <v>6</v>
      </c>
      <c r="G15" t="s">
        <v>2</v>
      </c>
      <c r="H15" s="8">
        <v>44018</v>
      </c>
      <c r="J15" t="s">
        <v>2</v>
      </c>
      <c r="K15" t="s">
        <v>2</v>
      </c>
    </row>
    <row r="16" spans="4:12" ht="12.75" customHeight="1" x14ac:dyDescent="0.25">
      <c r="J16" s="9"/>
      <c r="K16" s="10"/>
    </row>
    <row r="17" spans="3:11" ht="12.75" customHeight="1" x14ac:dyDescent="0.25">
      <c r="D17" t="s">
        <v>7</v>
      </c>
    </row>
    <row r="18" spans="3:11" ht="7.5" customHeight="1" x14ac:dyDescent="0.25"/>
    <row r="19" spans="3:11" x14ac:dyDescent="0.25">
      <c r="C19" s="11"/>
      <c r="D19" s="12" t="s">
        <v>8</v>
      </c>
      <c r="E19" s="13"/>
      <c r="F19" s="12" t="s">
        <v>9</v>
      </c>
      <c r="G19" s="13"/>
      <c r="H19" s="13" t="s">
        <v>10</v>
      </c>
      <c r="I19" s="14" t="s">
        <v>11</v>
      </c>
      <c r="J19" s="13"/>
      <c r="K19" s="15" t="s">
        <v>12</v>
      </c>
    </row>
    <row r="20" spans="3:11" ht="9.9499999999999993" customHeight="1" x14ac:dyDescent="0.25">
      <c r="C20" s="11"/>
      <c r="D20" s="12"/>
      <c r="E20" s="13"/>
      <c r="F20" s="12"/>
      <c r="G20" s="13"/>
      <c r="H20" s="13"/>
      <c r="I20" s="16"/>
      <c r="J20" s="13"/>
      <c r="K20" s="17"/>
    </row>
    <row r="21" spans="3:11" ht="12.75" customHeight="1" x14ac:dyDescent="0.25">
      <c r="C21" s="11"/>
      <c r="D21" s="83">
        <v>1</v>
      </c>
      <c r="E21" s="84"/>
      <c r="F21" s="21" t="s">
        <v>25</v>
      </c>
      <c r="G21" s="22">
        <v>12</v>
      </c>
      <c r="H21" s="11" t="s">
        <v>27</v>
      </c>
      <c r="I21" s="19">
        <v>13.94</v>
      </c>
      <c r="J21" s="11" t="s">
        <v>13</v>
      </c>
      <c r="K21" s="20" t="s">
        <v>18</v>
      </c>
    </row>
    <row r="22" spans="3:11" ht="12.75" customHeight="1" x14ac:dyDescent="0.25">
      <c r="C22" s="11"/>
      <c r="D22" s="18"/>
      <c r="E22" s="11"/>
      <c r="F22" s="21"/>
      <c r="G22" s="22"/>
      <c r="H22" s="11"/>
      <c r="I22" s="19"/>
      <c r="J22" s="11"/>
      <c r="K22" s="20"/>
    </row>
    <row r="23" spans="3:11" ht="12.75" customHeight="1" x14ac:dyDescent="0.25">
      <c r="C23" s="11"/>
      <c r="D23" s="83">
        <v>2</v>
      </c>
      <c r="E23" s="84"/>
      <c r="F23" s="21" t="s">
        <v>26</v>
      </c>
      <c r="G23" s="22">
        <v>12</v>
      </c>
      <c r="H23" s="11" t="s">
        <v>28</v>
      </c>
      <c r="I23" s="19">
        <v>13.64</v>
      </c>
      <c r="J23" s="11" t="s">
        <v>13</v>
      </c>
      <c r="K23" s="20" t="s">
        <v>18</v>
      </c>
    </row>
    <row r="24" spans="3:11" ht="12.75" customHeight="1" x14ac:dyDescent="0.25">
      <c r="C24" s="11"/>
      <c r="D24" s="18"/>
      <c r="E24" s="11"/>
      <c r="F24" s="21"/>
      <c r="G24" s="22"/>
      <c r="H24" s="11"/>
      <c r="I24" s="19"/>
      <c r="J24" s="11"/>
      <c r="K24" s="20"/>
    </row>
    <row r="25" spans="3:11" ht="12.75" customHeight="1" x14ac:dyDescent="0.25">
      <c r="C25" s="11"/>
      <c r="D25" s="83">
        <v>3</v>
      </c>
      <c r="E25" s="84"/>
      <c r="F25" s="21" t="s">
        <v>26</v>
      </c>
      <c r="G25" s="22">
        <v>11</v>
      </c>
      <c r="H25" s="11" t="s">
        <v>28</v>
      </c>
      <c r="I25" s="19">
        <v>12.52</v>
      </c>
      <c r="J25" s="11" t="s">
        <v>13</v>
      </c>
      <c r="K25" s="20" t="s">
        <v>18</v>
      </c>
    </row>
    <row r="26" spans="3:11" ht="12.75" customHeight="1" x14ac:dyDescent="0.25">
      <c r="C26" s="11"/>
      <c r="D26" s="18"/>
      <c r="E26" s="11"/>
      <c r="F26" s="21"/>
      <c r="G26" s="22"/>
      <c r="H26" s="11"/>
      <c r="I26" s="19"/>
      <c r="J26" s="11"/>
      <c r="K26" s="20"/>
    </row>
    <row r="27" spans="3:11" ht="12.75" customHeight="1" x14ac:dyDescent="0.25">
      <c r="C27" s="11"/>
      <c r="D27" s="83">
        <v>4</v>
      </c>
      <c r="E27" s="84"/>
      <c r="F27" s="21" t="s">
        <v>23</v>
      </c>
      <c r="G27" s="22">
        <v>6</v>
      </c>
      <c r="H27" s="11" t="s">
        <v>28</v>
      </c>
      <c r="I27" s="19">
        <v>12.96</v>
      </c>
      <c r="J27" s="11" t="s">
        <v>13</v>
      </c>
      <c r="K27" s="20" t="s">
        <v>18</v>
      </c>
    </row>
    <row r="28" spans="3:11" ht="12.75" customHeight="1" x14ac:dyDescent="0.25">
      <c r="C28" s="11"/>
      <c r="D28" s="30"/>
      <c r="E28" s="31"/>
      <c r="F28" s="21" t="s">
        <v>24</v>
      </c>
      <c r="G28" s="22">
        <v>9</v>
      </c>
      <c r="H28" s="11" t="s">
        <v>27</v>
      </c>
      <c r="I28" s="19"/>
      <c r="J28" s="11"/>
      <c r="K28" s="20"/>
    </row>
    <row r="29" spans="3:11" ht="12.75" customHeight="1" x14ac:dyDescent="0.25">
      <c r="C29" s="11"/>
      <c r="D29" s="18"/>
      <c r="E29" s="11"/>
      <c r="F29" s="21"/>
      <c r="G29" s="22"/>
      <c r="H29" s="11"/>
      <c r="I29" s="19"/>
      <c r="J29" s="11"/>
      <c r="K29" s="20"/>
    </row>
    <row r="30" spans="3:11" ht="12.75" customHeight="1" x14ac:dyDescent="0.25">
      <c r="C30" s="11"/>
      <c r="D30" s="85">
        <v>5</v>
      </c>
      <c r="E30" s="86"/>
      <c r="F30" s="21" t="s">
        <v>24</v>
      </c>
      <c r="G30" s="22">
        <v>14</v>
      </c>
      <c r="H30" s="11" t="s">
        <v>27</v>
      </c>
      <c r="I30" s="19">
        <v>14</v>
      </c>
      <c r="J30" s="11" t="s">
        <v>13</v>
      </c>
      <c r="K30" s="20" t="s">
        <v>18</v>
      </c>
    </row>
    <row r="31" spans="3:11" ht="12.75" customHeight="1" x14ac:dyDescent="0.25">
      <c r="C31" s="11"/>
      <c r="D31" s="18"/>
      <c r="E31" s="11"/>
      <c r="F31" s="21" t="s">
        <v>30</v>
      </c>
      <c r="G31" s="22">
        <v>1</v>
      </c>
      <c r="H31" s="11" t="s">
        <v>27</v>
      </c>
      <c r="I31" s="19"/>
      <c r="J31" s="11"/>
      <c r="K31" s="20"/>
    </row>
    <row r="32" spans="3:11" ht="12.75" customHeight="1" x14ac:dyDescent="0.25">
      <c r="C32" s="11"/>
      <c r="D32" s="18"/>
      <c r="E32" s="11"/>
      <c r="F32" s="21" t="s">
        <v>31</v>
      </c>
      <c r="G32" s="22"/>
      <c r="H32" s="11"/>
      <c r="I32" s="19"/>
      <c r="J32" s="11"/>
      <c r="K32" s="20"/>
    </row>
    <row r="33" spans="1:11" ht="12.75" customHeight="1" x14ac:dyDescent="0.25">
      <c r="C33" s="11"/>
      <c r="D33" s="18"/>
      <c r="E33" s="11"/>
      <c r="F33" s="21"/>
      <c r="G33" s="22"/>
      <c r="H33" s="11"/>
      <c r="I33" s="19"/>
      <c r="J33" s="11"/>
      <c r="K33" s="20"/>
    </row>
    <row r="34" spans="1:11" ht="12.75" customHeight="1" x14ac:dyDescent="0.25">
      <c r="C34" s="11"/>
      <c r="D34" s="18"/>
      <c r="E34" s="11"/>
      <c r="F34" s="21"/>
      <c r="G34" s="22"/>
      <c r="H34" s="11"/>
      <c r="I34" s="19"/>
      <c r="J34" s="11"/>
      <c r="K34" s="20"/>
    </row>
    <row r="35" spans="1:11" ht="12.75" customHeight="1" x14ac:dyDescent="0.25">
      <c r="C35" s="11"/>
      <c r="D35" s="18"/>
      <c r="E35" s="11"/>
      <c r="F35" s="21"/>
      <c r="G35" s="11"/>
      <c r="H35" s="11"/>
      <c r="I35" s="18"/>
      <c r="J35" s="11"/>
      <c r="K35" s="23"/>
    </row>
    <row r="36" spans="1:11" ht="12.75" customHeight="1" x14ac:dyDescent="0.25">
      <c r="C36" s="11"/>
      <c r="D36" s="18"/>
      <c r="E36" s="11"/>
      <c r="F36" s="21"/>
      <c r="G36" s="22">
        <f>SUM(G21:G32)</f>
        <v>65</v>
      </c>
      <c r="H36" s="22" t="s">
        <v>29</v>
      </c>
      <c r="I36" s="18"/>
      <c r="J36" s="11"/>
      <c r="K36" s="23"/>
    </row>
    <row r="37" spans="1:11" ht="12.75" customHeight="1" x14ac:dyDescent="0.25">
      <c r="C37" s="11"/>
      <c r="D37" s="18"/>
      <c r="E37" s="11"/>
      <c r="F37" s="21"/>
      <c r="G37" s="11"/>
      <c r="H37" s="22"/>
      <c r="I37" s="18"/>
      <c r="J37" s="11"/>
      <c r="K37" s="23"/>
    </row>
    <row r="38" spans="1:11" ht="12.75" customHeight="1" x14ac:dyDescent="0.25">
      <c r="C38" s="11"/>
      <c r="D38" s="18"/>
      <c r="E38" s="11"/>
      <c r="F38" s="18" t="s">
        <v>14</v>
      </c>
      <c r="G38" s="11"/>
      <c r="H38" s="11"/>
      <c r="I38" s="18">
        <f>SUM(I21:I31)</f>
        <v>67.06</v>
      </c>
      <c r="J38" s="11" t="s">
        <v>13</v>
      </c>
      <c r="K38" s="23"/>
    </row>
    <row r="39" spans="1:11" ht="12.75" customHeight="1" x14ac:dyDescent="0.25">
      <c r="C39" s="11"/>
      <c r="D39" s="18"/>
      <c r="E39" s="11"/>
      <c r="F39" s="18"/>
      <c r="G39" s="11"/>
      <c r="H39" s="11"/>
      <c r="I39" s="18"/>
      <c r="J39" s="11"/>
      <c r="K39" s="23"/>
    </row>
    <row r="40" spans="1:11" ht="12.75" customHeight="1" x14ac:dyDescent="0.25">
      <c r="C40" s="11"/>
      <c r="D40" s="24"/>
      <c r="E40" s="25"/>
      <c r="F40" s="24" t="s">
        <v>15</v>
      </c>
      <c r="G40" s="25"/>
      <c r="H40" s="25"/>
      <c r="I40" s="24">
        <f>I38-5</f>
        <v>62.06</v>
      </c>
      <c r="J40" s="25" t="s">
        <v>13</v>
      </c>
      <c r="K40" s="26" t="s">
        <v>2</v>
      </c>
    </row>
    <row r="41" spans="1:11" ht="12.75" customHeight="1" x14ac:dyDescent="0.25">
      <c r="A41" s="11"/>
      <c r="B41" s="11"/>
      <c r="C41" s="11"/>
      <c r="D41" s="11" t="s">
        <v>2</v>
      </c>
      <c r="F41" s="11"/>
      <c r="G41" s="11"/>
      <c r="H41" s="27"/>
      <c r="I41" s="11"/>
      <c r="J41" s="11"/>
      <c r="K41" s="27"/>
    </row>
    <row r="42" spans="1:11" ht="12.75" customHeight="1" x14ac:dyDescent="0.25">
      <c r="F42" s="11"/>
      <c r="G42" s="11"/>
      <c r="H42" s="28"/>
      <c r="I42" s="11"/>
      <c r="J42" s="11"/>
      <c r="K42" s="28"/>
    </row>
    <row r="43" spans="1:11" ht="12.75" customHeight="1" x14ac:dyDescent="0.25">
      <c r="F43" s="11"/>
      <c r="G43" s="11"/>
      <c r="H43" s="28"/>
      <c r="I43" s="11"/>
      <c r="J43" s="11"/>
      <c r="K43" s="28"/>
    </row>
    <row r="44" spans="1:11" ht="12.75" customHeight="1" x14ac:dyDescent="0.25">
      <c r="F44" s="11"/>
      <c r="G44" s="11"/>
      <c r="H44" s="27"/>
      <c r="I44" s="11"/>
      <c r="J44" s="11"/>
      <c r="K44" s="27"/>
    </row>
    <row r="45" spans="1:11" ht="12.75" customHeight="1" x14ac:dyDescent="0.25">
      <c r="F45" s="11"/>
      <c r="G45" s="11"/>
      <c r="H45" s="28"/>
      <c r="I45" s="11"/>
      <c r="J45" s="11"/>
      <c r="K45" s="28"/>
    </row>
    <row r="46" spans="1:11" ht="12.75" customHeight="1" x14ac:dyDescent="0.25">
      <c r="F46" s="11"/>
      <c r="G46" s="11"/>
      <c r="H46" s="28"/>
      <c r="I46" s="11"/>
      <c r="J46" s="11"/>
      <c r="K46" s="27"/>
    </row>
    <row r="47" spans="1:11" ht="12.75" customHeight="1" x14ac:dyDescent="0.25">
      <c r="F47" s="11"/>
      <c r="G47" s="11"/>
      <c r="H47" s="27"/>
      <c r="I47" s="11"/>
      <c r="J47" s="11"/>
      <c r="K47" s="27"/>
    </row>
    <row r="48" spans="1:11" ht="12.75" customHeight="1" x14ac:dyDescent="0.25">
      <c r="F48" s="11"/>
      <c r="G48" s="11"/>
      <c r="H48" s="28"/>
      <c r="I48" s="11"/>
      <c r="J48" s="11"/>
      <c r="K48" s="28"/>
    </row>
    <row r="49" spans="6:11" ht="12.75" customHeight="1" x14ac:dyDescent="0.25">
      <c r="F49" s="11"/>
      <c r="G49" s="11"/>
      <c r="H49" s="28"/>
      <c r="I49" s="11"/>
      <c r="J49" s="11"/>
      <c r="K49" s="28"/>
    </row>
    <row r="50" spans="6:11" ht="12.75" customHeight="1" x14ac:dyDescent="0.25">
      <c r="F50" s="11"/>
      <c r="G50" s="11"/>
      <c r="H50" s="27"/>
      <c r="I50" s="11"/>
      <c r="J50" s="11"/>
      <c r="K50" s="27"/>
    </row>
    <row r="51" spans="6:11" ht="12.75" customHeight="1" x14ac:dyDescent="0.25">
      <c r="F51" s="11"/>
      <c r="G51" s="11"/>
      <c r="H51" s="28"/>
      <c r="I51" s="11"/>
      <c r="J51" s="11"/>
      <c r="K51" s="28"/>
    </row>
    <row r="52" spans="6:11" ht="12.75" customHeight="1" x14ac:dyDescent="0.25"/>
    <row r="53" spans="6:11" ht="12.75" customHeight="1" x14ac:dyDescent="0.25"/>
    <row r="54" spans="6:11" ht="12.75" customHeight="1" x14ac:dyDescent="0.25"/>
    <row r="55" spans="6:11" ht="12.75" customHeight="1" x14ac:dyDescent="0.25"/>
    <row r="56" spans="6:11" ht="12.75" customHeight="1" x14ac:dyDescent="0.25"/>
    <row r="57" spans="6:11" ht="12.75" customHeight="1" x14ac:dyDescent="0.25"/>
    <row r="58" spans="6:11" ht="12.75" customHeight="1" x14ac:dyDescent="0.25"/>
    <row r="59" spans="6:11" ht="12.75" customHeight="1" x14ac:dyDescent="0.25"/>
    <row r="60" spans="6:11" ht="12.75" customHeight="1" x14ac:dyDescent="0.25"/>
    <row r="61" spans="6:11" ht="12.75" customHeight="1" x14ac:dyDescent="0.25"/>
    <row r="62" spans="6:11" ht="12.75" customHeight="1" x14ac:dyDescent="0.25"/>
    <row r="63" spans="6:11" ht="12.75" customHeight="1" x14ac:dyDescent="0.25"/>
    <row r="64" spans="6:11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</sheetData>
  <mergeCells count="5">
    <mergeCell ref="D21:E21"/>
    <mergeCell ref="D23:E23"/>
    <mergeCell ref="D25:E25"/>
    <mergeCell ref="D27:E27"/>
    <mergeCell ref="D30:E30"/>
  </mergeCells>
  <hyperlinks>
    <hyperlink ref="I5" r:id="rId1"/>
  </hyperlinks>
  <pageMargins left="0.70866141732283472" right="0.70866141732283472" top="0.74803149606299213" bottom="0.74803149606299213" header="0.31496062992125984" footer="0.31496062992125984"/>
  <pageSetup paperSize="9" scale="82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 250121</vt:lpstr>
      <vt:lpstr>INV 220031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Lys Pamias</dc:creator>
  <cp:lastModifiedBy>lpamias</cp:lastModifiedBy>
  <cp:lastPrinted>2025-05-05T11:47:43Z</cp:lastPrinted>
  <dcterms:created xsi:type="dcterms:W3CDTF">2019-11-11T09:00:35Z</dcterms:created>
  <dcterms:modified xsi:type="dcterms:W3CDTF">2025-05-06T07:41:45Z</dcterms:modified>
</cp:coreProperties>
</file>